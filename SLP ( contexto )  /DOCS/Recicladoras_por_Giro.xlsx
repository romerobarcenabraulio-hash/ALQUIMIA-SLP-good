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5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 Ejecutivo" sheetId="1" r:id="rId5"/>
    <sheet state="visible" name="Matriz_Compradores&#10;&#10;" sheetId="2" r:id="rId6"/>
    <sheet state="visible" name="Dimensionamiento_sistema" sheetId="3" r:id="rId7"/>
    <sheet state="visible" name="Datos para Gráficas" sheetId="4" r:id="rId8"/>
    <sheet state="visible" name="PET" sheetId="5" r:id="rId9"/>
    <sheet state="visible" name="Papel-Carton" sheetId="6" r:id="rId10"/>
    <sheet state="visible" name="Aluminio" sheetId="7" r:id="rId11"/>
    <sheet state="visible" name="Vidrio" sheetId="8" r:id="rId12"/>
    <sheet state="visible" name="Organicos-Composta" sheetId="9" r:id="rId1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tc={2e31dde8-dfe7-464a-bbce-34cc5e4cc668}</author>
    <author>tc={42cf0550-5b30-48ad-b074-d45cd7c4248b}</author>
    <author>tc={8788653d-28e6-4370-bd0e-bb203ac47b54}</author>
  </authors>
  <commentList>
    <comment authorId="0" ref="C34">
      <text>
        <t xml:space="preserve">Fuente: Hoja_Puente_CA_RG del archivo CA-GS, Año 1 según fase activa.</t>
      </text>
    </comment>
    <comment authorId="0" ref="C78">
      <text>
        <t xml:space="preserve">Cuchillas de trituradora, filtros de lavado, bandas transportadoras, refacciones menores de línea. Estimado conservador para operación 300 días/año.</t>
      </text>
    </comment>
    <comment authorId="0" ref="E275">
      <text>
        <t xml:space="preserve">ALERTA: TIR &gt; 250%. Verificar volúmenes de entrada y precios de venta.</t>
      </text>
    </comment>
    <comment authorId="1" xr:uid="{2e31dde8-dfe7-464a-bbce-34cc5e4cc668}" ref="F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80% procesado = escenario fondos de impacto
</t>
      </text>
    </comment>
    <comment authorId="2" xr:uid="{42cf0550-5b30-48ad-b074-d45cd7c4248b}" ref="E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40% procesado = escenario concesionario/franquiciatario
</t>
      </text>
    </comment>
    <comment authorId="3" xr:uid="{8788653d-28e6-4370-bd0e-bb203ac47b54}" ref="D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30% procesado = escenario municipio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tc={15c92797-e606-401b-9092-2f4a20d42daf}</author>
    <author>tc={352448d9-6da7-4b90-8d07-2108de19f0c5}</author>
    <author>tc={6138ddf1-5c9a-498d-940f-3c6420b66238}</author>
    <author>tc={8234a805-a19f-4c03-906b-a5e32c35f68c}</author>
  </authors>
  <commentList>
    <comment authorId="0" ref="C34">
      <text>
        <t xml:space="preserve">Fuente: Hoja_Puente_CA_RG del archivo CA-GS, Año 1 según fase activa.</t>
      </text>
    </comment>
    <comment authorId="0" ref="C78">
      <text>
        <t xml:space="preserve">Cuchillas de trituradora, filtros de lavado, bandas transportadoras, refacciones menores de línea. Estimado conservador para operación 300 días/año.</t>
      </text>
    </comment>
    <comment authorId="0" ref="E282">
      <text>
        <t xml:space="preserve">ALERTA: TIR &gt; 250%. Verificar volúmenes de entrada y precios de venta.</t>
      </text>
    </comment>
    <comment authorId="1" xr:uid="{15c92797-e606-401b-9092-2f4a20d42daf}" ref="D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30% procesado = escenario municipio
</t>
      </text>
    </comment>
    <comment authorId="2" xr:uid="{352448d9-6da7-4b90-8d07-2108de19f0c5}" ref="F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80% procesado = escenario fondos de impacto
</t>
      </text>
    </comment>
    <comment authorId="3" xr:uid="{6138ddf1-5c9a-498d-940f-3c6420b66238}" ref="N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Gas LP: 2.5 kg/hora × horas × días × $18.5/kg
</t>
      </text>
    </comment>
    <comment authorId="4" xr:uid="{8234a805-a19f-4c03-906b-a5e32c35f68c}" ref="E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40% procesado = escenario concesionario/franquiciatario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tc={29e960e4-08e4-444c-8255-0a7a060668d0}</author>
    <author>tc={4d4fdff3-aa4f-4bfb-818b-975bbd18d7fe}</author>
    <author>tc={908242df-1e90-4db2-b8b3-a50218f48f56}</author>
    <author>tc={9b01b0b8-afbc-4b22-bbcc-cfec0dbd1af7}</author>
  </authors>
  <commentList>
    <comment authorId="0" ref="C34">
      <text>
        <t xml:space="preserve">Fuente: Hoja_Puente_CA_RG del archivo CA-GS, Año 1 según fase activa.</t>
      </text>
    </comment>
    <comment authorId="0" ref="C40">
      <text>
        <t xml:space="preserve">REVISAR: precio no coincide con Bloque Maestro MB Sección 9. Precio compra acopio = $8.80/kg. El valor actual ($15.10) parece ser precio de VENTA recicladora, no de compra MP.</t>
      </text>
    </comment>
    <comment authorId="0" ref="C79">
      <text>
        <t xml:space="preserve">Cuchillas de trituradora, filtros de lavado, bandas transportadoras, refacciones menores de línea. Estimado conservador para operación 300 días/año.</t>
      </text>
    </comment>
    <comment authorId="0" ref="E275">
      <text>
        <t xml:space="preserve">ALERTA: TIR &gt; 250%. Verificar volúmenes de entrada y precios de venta.</t>
      </text>
    </comment>
    <comment authorId="1" xr:uid="{29e960e4-08e4-444c-8255-0a7a060668d0}" ref="D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30% procesado = escenario municipio
</t>
      </text>
    </comment>
    <comment authorId="2" xr:uid="{4d4fdff3-aa4f-4bfb-818b-975bbd18d7fe}" ref="N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Gas LP: 18 kg/hora × horas × días × $18.5/kg
</t>
      </text>
    </comment>
    <comment authorId="3" xr:uid="{908242df-1e90-4db2-b8b3-a50218f48f56}" ref="E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40% procesado = escenario concesionario/franquiciatario
</t>
      </text>
    </comment>
    <comment authorId="4" xr:uid="{9b01b0b8-afbc-4b22-bbcc-cfec0dbd1af7}" ref="F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80% procesado = escenario fondos de impacto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tc={31fa3473-3d3f-4f25-801e-1366b7374500}</author>
    <author>tc={3b730924-602a-4dc8-a9a3-5c37048b8b09}</author>
    <author>tc={8771ab40-ede6-4af7-be21-defdda495e9e}</author>
  </authors>
  <commentList>
    <comment authorId="0" ref="C34">
      <text>
        <t xml:space="preserve">Fuente: Hoja_Puente_CA_RG del archivo CA-GS, Año 1 según fase activa.</t>
      </text>
    </comment>
    <comment authorId="0" ref="C78">
      <text>
        <t xml:space="preserve">Cuchillas de trituradora, filtros de lavado, bandas transportadoras, refacciones menores de línea. Estimado conservador para operación 300 días/año.</t>
      </text>
    </comment>
    <comment authorId="0" ref="E274">
      <text>
        <t xml:space="preserve">ALERTA: TIR &gt; 250%. Verificar volúmenes de entrada y precios de venta.</t>
      </text>
    </comment>
    <comment authorId="1" xr:uid="{31fa3473-3d3f-4f25-801e-1366b7374500}" ref="F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80% procesado = escenario fondos de impacto
</t>
      </text>
    </comment>
    <comment authorId="2" xr:uid="{3b730924-602a-4dc8-a9a3-5c37048b8b09}" ref="D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30% procesado = escenario municipio
</t>
      </text>
    </comment>
    <comment authorId="3" xr:uid="{8771ab40-ede6-4af7-be21-defdda495e9e}" ref="E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40% procesado = escenario concesionario/franquiciatario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tc={09f28719-a25f-493c-a10b-2dc9dc731c4a}</author>
    <author>tc={2271343b-469f-409b-97b9-2cca225b5026}</author>
    <author>tc={e35b0910-2956-498d-b675-30afdcc028bb}</author>
  </authors>
  <commentList>
    <comment authorId="0" ref="C34">
      <text>
        <t xml:space="preserve">Fuente: Hoja_Puente_CA_RG del archivo CA-GS, Año 1 según fase activa.</t>
      </text>
    </comment>
    <comment authorId="0" ref="C83">
      <text>
        <t xml:space="preserve">Cuchillas de trituradora, filtros de lavado, bandas transportadoras, refacciones menores de línea. Estimado conservador para operación 300 días/año.</t>
      </text>
    </comment>
    <comment authorId="1" xr:uid="{09f28719-a25f-493c-a10b-2dc9dc731c4a}" ref="D8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30% procesado = escenario municipio
</t>
      </text>
    </comment>
    <comment authorId="2" xr:uid="{2271343b-469f-409b-97b9-2cca225b5026}" ref="E8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40% procesado = escenario concesionario/franquiciatario
</t>
      </text>
    </comment>
    <comment authorId="3" xr:uid="{e35b0910-2956-498d-b675-30afdcc028bb}" ref="F8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80% procesado = escenario fondos de impacto
</t>
      </text>
    </comment>
  </commentList>
</comments>
</file>

<file path=xl/sharedStrings.xml><?xml version="1.0" encoding="utf-8"?>
<sst xmlns="http://schemas.openxmlformats.org/spreadsheetml/2006/main" count="2810" uniqueCount="618">
  <si>
    <t>RESUMEN EJECUTIVO COMPARATIVO — RECICLADORAS POR GIRO — SAN LUIS POTOSÍ</t>
  </si>
  <si>
    <t>Modelo financiero CFO — Cinco giros × Tres escenarios (40% base)</t>
  </si>
  <si>
    <t>PET</t>
  </si>
  <si>
    <t>Papel/Cartón</t>
  </si>
  <si>
    <t>Aluminio</t>
  </si>
  <si>
    <t>Vidrio</t>
  </si>
  <si>
    <t>Orgánicos</t>
  </si>
  <si>
    <t>INVERSIÓN</t>
  </si>
  <si>
    <t>CAPEX total</t>
  </si>
  <si>
    <t>Capital de trabajo</t>
  </si>
  <si>
    <t>Inversión total</t>
  </si>
  <si>
    <t>Estructura D/E</t>
  </si>
  <si>
    <t>Capital propio requerido</t>
  </si>
  <si>
    <t>RENTABILIDAD (Escenario 40% base)</t>
  </si>
  <si>
    <t>Ingreso mensual Año 1</t>
  </si>
  <si>
    <t>Ingreso mensual Año 3</t>
  </si>
  <si>
    <t>EBITDA Año 3</t>
  </si>
  <si>
    <t>Margen EBITDA Año 3 %</t>
  </si>
  <si>
    <t>VPN a WACC</t>
  </si>
  <si>
    <t>TIR proyecto</t>
  </si>
  <si>
    <t>TIR equity</t>
  </si>
  <si>
    <t>Payback simple (meses)</t>
  </si>
  <si>
    <t>Payback descontado (meses)</t>
  </si>
  <si>
    <t>MOIC</t>
  </si>
  <si>
    <t>RIESGO</t>
  </si>
  <si>
    <t>DSCR mínimo</t>
  </si>
  <si>
    <t>Break-even kg/día</t>
  </si>
  <si>
    <t>Margen de seguridad</t>
  </si>
  <si>
    <t>Escenario pesimista 50% captura</t>
  </si>
  <si>
    <t>TABLA COMPARATIVA POR ESCENARIO × GIRO</t>
  </si>
  <si>
    <t xml:space="preserve">PET - </t>
  </si>
  <si>
    <t>Métrica</t>
  </si>
  <si>
    <t>Esc_municipal</t>
  </si>
  <si>
    <t>Esc_concesionario</t>
  </si>
  <si>
    <t>Esc_impacto</t>
  </si>
  <si>
    <t>Volumen procesado t/mes</t>
  </si>
  <si>
    <t>Ingreso mensual MXN</t>
  </si>
  <si>
    <t>EBITDA mensual</t>
  </si>
  <si>
    <t>Meses a break-even</t>
  </si>
  <si>
    <t>TIR</t>
  </si>
  <si>
    <t>Nota: 30% = escenario municipio | 40% = negociación concesionario | 80% = fondos de impacto</t>
  </si>
  <si>
    <t>Generado: 2026-03-26 21:26 | Actualizada: 2026-04-10 16:00 | Modelo Recicladoras por Giro — Capítulo SLP</t>
  </si>
  <si>
    <t>DESGLOSE DE REVENUE POR ACTIVIDAD — Escenario 40% base (MXN/mes)</t>
  </si>
  <si>
    <t>Ingreso Recicladora (valor agregado)</t>
  </si>
  <si>
    <t>Ingreso Centro de Acopio (comercialización)</t>
  </si>
  <si>
    <t>Ingreso Total Bruto (Recicladora + Acopio)</t>
  </si>
  <si>
    <t>% Revenue Recicladora</t>
  </si>
  <si>
    <t>% Revenue Centro de Acopio</t>
  </si>
  <si>
    <t>(–) CMV Compra MP (centros de acopio)</t>
  </si>
  <si>
    <t>Margen Bruto (Ingreso Neto – CMV)</t>
  </si>
  <si>
    <t>% Margen Bruto s/Ingreso Neto</t>
  </si>
  <si>
    <t>MATRIZ DE COMPRADORES — ECOSISTEMA RSU ZM SLP</t>
  </si>
  <si>
    <t>SECCIÓN 1 — BLOQUE MAESTRO DE PRECIOS (VERDAD ÚNICA)</t>
  </si>
  <si>
    <t>Material</t>
  </si>
  <si>
    <t>Precio_MXN_kg</t>
  </si>
  <si>
    <t>Fuente</t>
  </si>
  <si>
    <t>Fecha_referencia</t>
  </si>
  <si>
    <t>Notas</t>
  </si>
  <si>
    <t>5.50</t>
  </si>
  <si>
    <t>MB Sección 9</t>
  </si>
  <si>
    <t>Precio piso recicladora</t>
  </si>
  <si>
    <t>2.50</t>
  </si>
  <si>
    <t>1.30</t>
  </si>
  <si>
    <t>Orgánicos/Composta</t>
  </si>
  <si>
    <t>0.80</t>
  </si>
  <si>
    <t>Estimado composta</t>
  </si>
  <si>
    <t>SECCIÓN 2 — COMPRADORES ANCLA Y CAPACIDADES</t>
  </si>
  <si>
    <t>Comprador</t>
  </si>
  <si>
    <t>Giro</t>
  </si>
  <si>
    <t>Material_principal</t>
  </si>
  <si>
    <t>Capacidad_t_mes</t>
  </si>
  <si>
    <t>Precio_oferta_MXN_kg</t>
  </si>
  <si>
    <t>Contacto_referencia</t>
  </si>
  <si>
    <t>Grupo Diarq</t>
  </si>
  <si>
    <t>Recicladora PET</t>
  </si>
  <si>
    <t>Por confirmar</t>
  </si>
  <si>
    <t>Papelera Moctezuma</t>
  </si>
  <si>
    <t>Recicladora Papel</t>
  </si>
  <si>
    <t>Vitro / Owens</t>
  </si>
  <si>
    <t>Recicladora Vidrio</t>
  </si>
  <si>
    <t>Aluminio del Norte</t>
  </si>
  <si>
    <t>Recicladora Aluminio</t>
  </si>
  <si>
    <t>Biocompostaje SLP</t>
  </si>
  <si>
    <t>Compostador</t>
  </si>
  <si>
    <t>SECCIÓN 3 — OFERTA POR FASE</t>
  </si>
  <si>
    <t>Fase</t>
  </si>
  <si>
    <t>Cobertura_viviendas_%</t>
  </si>
  <si>
    <t>RSU_t_dia</t>
  </si>
  <si>
    <t>PET_t_dia</t>
  </si>
  <si>
    <t>Papel_t_dia</t>
  </si>
  <si>
    <t>Vidrio_t_dia</t>
  </si>
  <si>
    <t>Aluminio_t_dia</t>
  </si>
  <si>
    <t>Organicos_t_dia</t>
  </si>
  <si>
    <t>201.60</t>
  </si>
  <si>
    <t>36.29</t>
  </si>
  <si>
    <t>6.35</t>
  </si>
  <si>
    <t>138.00</t>
  </si>
  <si>
    <t>483.84</t>
  </si>
  <si>
    <t>87.09</t>
  </si>
  <si>
    <t>21.77</t>
  </si>
  <si>
    <t>15.24</t>
  </si>
  <si>
    <t>331.20</t>
  </si>
  <si>
    <t>806.40</t>
  </si>
  <si>
    <t>48.38</t>
  </si>
  <si>
    <t>145.15</t>
  </si>
  <si>
    <t>25.40</t>
  </si>
  <si>
    <t>552.00</t>
  </si>
  <si>
    <t>SECCIÓN 4 — HALLAZGOS Y COMPATIBILIDAD</t>
  </si>
  <si>
    <t>Hallazgo</t>
  </si>
  <si>
    <t>Detalle</t>
  </si>
  <si>
    <t>Estatus</t>
  </si>
  <si>
    <t>Precios EST vs MB</t>
  </si>
  <si>
    <t>Precios en hoja EST coinciden con MB Sección 9</t>
  </si>
  <si>
    <t>VERIFICADO ✓</t>
  </si>
  <si>
    <t>Precios CAP vs MB</t>
  </si>
  <si>
    <t>Precios en hoja CAP coinciden con MB Sección 9</t>
  </si>
  <si>
    <t>Capacidad compradores Fase 1</t>
  </si>
  <si>
    <t>Oferta PET 12.1 t/día &lt; Capacidad Diarq 300 t/mes (~10 t/día): compatible</t>
  </si>
  <si>
    <t>COMPATIBLE ✓</t>
  </si>
  <si>
    <t>Capacidad compradores Fase 3</t>
  </si>
  <si>
    <t>Oferta PET 48.4 t/día &gt; Capacidad ancla actual: requiere 2do comprador</t>
  </si>
  <si>
    <t>ATENCIÓN ⚠</t>
  </si>
  <si>
    <t>Vidrio Fase 3</t>
  </si>
  <si>
    <t>Oferta 36.3 t/día &gt; Capacidad Vitro/Owens estimada: requiere negociación</t>
  </si>
  <si>
    <t>Mercado composta local en desarrollo; precio 0.80 MXN/kg estimado</t>
  </si>
  <si>
    <t>POR CONFIRMAR</t>
  </si>
  <si>
    <t>Discrepancias precios</t>
  </si>
  <si>
    <t>Cero discrepancias detectadas entre EST, CAP y MB</t>
  </si>
  <si>
    <t>MIX ESCALONADO DE RECICLADORAS</t>
  </si>
  <si>
    <t>Fraccion</t>
  </si>
  <si>
    <t>% Flujo</t>
  </si>
  <si>
    <t>t/dia bruto</t>
  </si>
  <si>
    <t>t/dia neto (post 10%)</t>
  </si>
  <si>
    <t>t/ano neto</t>
  </si>
  <si>
    <t>Demanda existente t/ano</t>
  </si>
  <si>
    <t>GAP t/ano</t>
  </si>
  <si>
    <t>Nuevas recicladoras necesarias</t>
  </si>
  <si>
    <t>Organicos</t>
  </si>
  <si>
    <t>326.6</t>
  </si>
  <si>
    <t>293.9</t>
  </si>
  <si>
    <t>Planta composta + biodigestor</t>
  </si>
  <si>
    <t>Papel/Carton</t>
  </si>
  <si>
    <t>145.2</t>
  </si>
  <si>
    <t>130.6</t>
  </si>
  <si>
    <t>Cubierto por IPSL (79,200 t/a)</t>
  </si>
  <si>
    <t>108.9</t>
  </si>
  <si>
    <t>98.0</t>
  </si>
  <si>
    <t>1-2 plantas PET nuevas</t>
  </si>
  <si>
    <t>36.3</t>
  </si>
  <si>
    <t>32.7</t>
  </si>
  <si>
    <t>1 planta procesamiento vidrio</t>
  </si>
  <si>
    <t>1 planta fundicion aluminio</t>
  </si>
  <si>
    <t>Otros (no valorizable)</t>
  </si>
  <si>
    <t>72.6</t>
  </si>
  <si>
    <t>Disposicion final</t>
  </si>
  <si>
    <t>TOTAL</t>
  </si>
  <si>
    <t>725.8</t>
  </si>
  <si>
    <t>588.2</t>
  </si>
  <si>
    <t>ESCALONAMIENTO POR FASE DE COBERTURA</t>
  </si>
  <si>
    <t>FASE A (25%) t/ano capturado</t>
  </si>
  <si>
    <t>Demanda existente</t>
  </si>
  <si>
    <t>GAP A</t>
  </si>
  <si>
    <t>Recicladoras nuevas A</t>
  </si>
  <si>
    <t>FASE B (60%) t/ano capturado</t>
  </si>
  <si>
    <t>GAP B</t>
  </si>
  <si>
    <t>Recicladoras nuevas B</t>
  </si>
  <si>
    <t>FASE C (100%) t/ano capturado</t>
  </si>
  <si>
    <t>GAP C</t>
  </si>
  <si>
    <t>Recicladoras nuevas C</t>
  </si>
  <si>
    <t>TOTAL RECICLADORAS</t>
  </si>
  <si>
    <t>SECCIÓN 3 — CAPEX/OPEX AGREGADO POR FASE</t>
  </si>
  <si>
    <t>Fracción</t>
  </si>
  <si>
    <t>CAPEX unitario</t>
  </si>
  <si>
    <t>Recicladoras Fase A</t>
  </si>
  <si>
    <t>CAPEX Fase A</t>
  </si>
  <si>
    <t>Recicladoras Fase C</t>
  </si>
  <si>
    <t>CAPEX Fase C</t>
  </si>
  <si>
    <t>PROYECCIÓN EMPLEO AGREGADO</t>
  </si>
  <si>
    <t>Empleos por planta</t>
  </si>
  <si>
    <t>Plantas Fase A</t>
  </si>
  <si>
    <t>Empleos Fase A</t>
  </si>
  <si>
    <t>Plantas Fase C</t>
  </si>
  <si>
    <t>Empleos Fase C</t>
  </si>
  <si>
    <t>Factor multiplicador indirecto: 2.5x-3.5x</t>
  </si>
  <si>
    <t>TABLA 1 — TIR POR GIRO (Escenario 40% base)Giro</t>
  </si>
  <si>
    <t>TIR %</t>
  </si>
  <si>
    <t>112.9%</t>
  </si>
  <si>
    <t>-6.8%</t>
  </si>
  <si>
    <t>110.3%</t>
  </si>
  <si>
    <t>No viable</t>
  </si>
  <si>
    <t>8.2%</t>
  </si>
  <si>
    <t>TABLA 2 — PAYBACK POR GIRO (Escenario 40%)Giro</t>
  </si>
  <si>
    <t>Payback (meses)</t>
  </si>
  <si>
    <t>15.0</t>
  </si>
  <si>
    <t>999.0</t>
  </si>
  <si>
    <t>TABLA 3 — EBITDA POR GIRO (Año 3, Escenario 40%)Giro</t>
  </si>
  <si>
    <t>EBITDA Anual (MXN)</t>
  </si>
  <si>
    <t>Margen %</t>
  </si>
  <si>
    <t>19.4%</t>
  </si>
  <si>
    <t>1.3%</t>
  </si>
  <si>
    <t>17.5%</t>
  </si>
  <si>
    <t>-15.5%</t>
  </si>
  <si>
    <t>16.2%</t>
  </si>
  <si>
    <t>TABLA 4 — VOLUMEN PROCESADO POR ESCENARIO (t/mes)Giro</t>
  </si>
  <si>
    <t>122.5</t>
  </si>
  <si>
    <t>217.7</t>
  </si>
  <si>
    <t>870.9</t>
  </si>
  <si>
    <t>580.6</t>
  </si>
  <si>
    <t>51.4</t>
  </si>
  <si>
    <t>91.4</t>
  </si>
  <si>
    <t>365.8</t>
  </si>
  <si>
    <t>81.6</t>
  </si>
  <si>
    <t>108.6</t>
  </si>
  <si>
    <t>144.8</t>
  </si>
  <si>
    <t>289.6</t>
  </si>
  <si>
    <t>TABLA 5 — CAPEX POR GIRO (MXN)Giro</t>
  </si>
  <si>
    <t>CAPEX Total (MXN)</t>
  </si>
  <si>
    <t>TABLA 6 — COMPOSICIÓN OPEX POR GIRO (Esc 40% mensual, sin CMV, MXN/mes)Giro</t>
  </si>
  <si>
    <t>Nómina</t>
  </si>
  <si>
    <t>Energía</t>
  </si>
  <si>
    <t>Agua/Servicios</t>
  </si>
  <si>
    <t>Insumos/Químicos</t>
  </si>
  <si>
    <t>Consumibles</t>
  </si>
  <si>
    <t>Flete</t>
  </si>
  <si>
    <t>Mantenimiento</t>
  </si>
  <si>
    <t>TABLA 7 — REVE</t>
  </si>
  <si>
    <t>Revenue por Actividad (MXN/mes, Escenario 40%)</t>
  </si>
  <si>
    <t>Ingreso Recicladora</t>
  </si>
  <si>
    <t>Ingreso Centro de Acopio</t>
  </si>
  <si>
    <t>Ingreso Total Bruto</t>
  </si>
  <si>
    <t>CMV Compra MP</t>
  </si>
  <si>
    <t>Margen Bruto</t>
  </si>
  <si>
    <t>BLOQUE A — SUPUESTOS PARAMETRIZADOS — PET</t>
  </si>
  <si>
    <t>Parámetro</t>
  </si>
  <si>
    <t>Valor</t>
  </si>
  <si>
    <t>Unidad</t>
  </si>
  <si>
    <t>Fuente / Nota</t>
  </si>
  <si>
    <t>Tipo de cambio USD/MXN</t>
  </si>
  <si>
    <t>MXN/USD</t>
  </si>
  <si>
    <t>Tarifa eléctrica industrial SLP</t>
  </si>
  <si>
    <t>MXN/kWh</t>
  </si>
  <si>
    <t>Ref CFE tarifa GDMTH SLP</t>
  </si>
  <si>
    <t>Precio gas LP industrial</t>
  </si>
  <si>
    <t>MXN/kg</t>
  </si>
  <si>
    <t>Supuesto razonado</t>
  </si>
  <si>
    <t>Precio diésel</t>
  </si>
  <si>
    <t>MXN/litro</t>
  </si>
  <si>
    <t>Factor contingencia energética</t>
  </si>
  <si>
    <t>x</t>
  </si>
  <si>
    <t>Días operativos/año</t>
  </si>
  <si>
    <t>días</t>
  </si>
  <si>
    <t>Días operativos/mes</t>
  </si>
  <si>
    <t>Merma estimada</t>
  </si>
  <si>
    <t>%</t>
  </si>
  <si>
    <t xml:space="preserve">Teorico </t>
  </si>
  <si>
    <t>Renta zona industrial</t>
  </si>
  <si>
    <t>MXN/m²/mes</t>
  </si>
  <si>
    <t xml:space="preserve">teorico </t>
  </si>
  <si>
    <t>Factor prestaciones sociales</t>
  </si>
  <si>
    <t>WACC</t>
  </si>
  <si>
    <t>ISR</t>
  </si>
  <si>
    <t>PTU</t>
  </si>
  <si>
    <t>Reserva legal</t>
  </si>
  <si>
    <t>Vida útil maquinaria industrial</t>
  </si>
  <si>
    <t>años</t>
  </si>
  <si>
    <t>Vida útil transporte</t>
  </si>
  <si>
    <t>Vida útil cómputo</t>
  </si>
  <si>
    <t>Factor utilización equipos proceso</t>
  </si>
  <si>
    <t>Capacidad arranque Año 1</t>
  </si>
  <si>
    <t>Capacidad arranque Año 2</t>
  </si>
  <si>
    <t>Capacidad arranque Año 3+</t>
  </si>
  <si>
    <t>DSO (días cuentas por cobrar)</t>
  </si>
  <si>
    <t>DIO (días inventario)</t>
  </si>
  <si>
    <t>DPO (días cuentas por pagar)</t>
  </si>
  <si>
    <t>Múltiplo valor terminal EBITDA</t>
  </si>
  <si>
    <t>Rango 4-6x</t>
  </si>
  <si>
    <t>Estructura D/E (% deuda)</t>
  </si>
  <si>
    <t>60/40</t>
  </si>
  <si>
    <t>Tasa interés deuda</t>
  </si>
  <si>
    <t>% anual</t>
  </si>
  <si>
    <t>Plazo deuda</t>
  </si>
  <si>
    <t>Parámetros específicos — PET</t>
  </si>
  <si>
    <t>Volumen entrada t/mes</t>
  </si>
  <si>
    <t>t/mes</t>
  </si>
  <si>
    <t>Escenario % procesado 30%</t>
  </si>
  <si>
    <t>30%=municipio</t>
  </si>
  <si>
    <t>Escenario % procesado 40%</t>
  </si>
  <si>
    <t>40%=concesionario</t>
  </si>
  <si>
    <t>Escenario % procesado 80%</t>
  </si>
  <si>
    <t>80%=fondos de impacto</t>
  </si>
  <si>
    <t>Rendimiento proceso kg/kg entrada</t>
  </si>
  <si>
    <t>kg/kg</t>
  </si>
  <si>
    <t>Precio PET procesado</t>
  </si>
  <si>
    <t>Valor agregado</t>
  </si>
  <si>
    <t>Precio compra MP centros de acopio (PET)</t>
  </si>
  <si>
    <t>Precio compra en centros de acopio</t>
  </si>
  <si>
    <t>Nave industrial m²</t>
  </si>
  <si>
    <t>m²</t>
  </si>
  <si>
    <t>Nómina mensual (6 operarios + 1 supervisor + 1 técnico proceso)</t>
  </si>
  <si>
    <t>MXN/mes</t>
  </si>
  <si>
    <t>(6*10000+1*17500+1*20000)*1.35</t>
  </si>
  <si>
    <t>Compradores ancla</t>
  </si>
  <si>
    <t>ALPLA Monterrey, FEMSA Reciclaje, Industrias Rebermex</t>
  </si>
  <si>
    <t>Condiciones mínimas pureza: ≥95% PET, ≤2% humedad</t>
  </si>
  <si>
    <t>Transporte/combustible mensual</t>
  </si>
  <si>
    <t>Supuesto operativo</t>
  </si>
  <si>
    <t>Agua y servicios mensual</t>
  </si>
  <si>
    <t>BLOQUE B — CAPEX CON CONSUMOS ENERGÉTICOS — PET</t>
  </si>
  <si>
    <t>Equipo</t>
  </si>
  <si>
    <t>Marca/Modelo</t>
  </si>
  <si>
    <t>Cant</t>
  </si>
  <si>
    <t>Precio unit MXN</t>
  </si>
  <si>
    <t>Total MXN</t>
  </si>
  <si>
    <t>kW nominal</t>
  </si>
  <si>
    <t>Factor util%</t>
  </si>
  <si>
    <t>Horas efect/día</t>
  </si>
  <si>
    <t>Días/mes</t>
  </si>
  <si>
    <t>kWh/mes</t>
  </si>
  <si>
    <t>kWh×1.10</t>
  </si>
  <si>
    <t>Costo MXN/mes</t>
  </si>
  <si>
    <t>Nota</t>
  </si>
  <si>
    <t>Lavadora de PET industrial 500kg/h</t>
  </si>
  <si>
    <t>Amut/Genérica</t>
  </si>
  <si>
    <t>Trituradora/Molino PET 1t/h</t>
  </si>
  <si>
    <t>Vecoplan VNZ 63</t>
  </si>
  <si>
    <t>Secador de flake centrífugo</t>
  </si>
  <si>
    <t>Genérico</t>
  </si>
  <si>
    <t>Banda transportadora 6m</t>
  </si>
  <si>
    <t>Nacional</t>
  </si>
  <si>
    <t>Extrusora pellet (escenario 80%)</t>
  </si>
  <si>
    <t>Genérica</t>
  </si>
  <si>
    <t>Aplica solo en escenario 80%</t>
  </si>
  <si>
    <t>Báscula 1,000kg</t>
  </si>
  <si>
    <t>Torrey PLP1000</t>
  </si>
  <si>
    <t>Patín hidráulico</t>
  </si>
  <si>
    <t>Manual</t>
  </si>
  <si>
    <t>Herramienta menor</t>
  </si>
  <si>
    <t>Varios</t>
  </si>
  <si>
    <t>TOTAL EQUIPAMIENTO</t>
  </si>
  <si>
    <t>BLOQUE C — CAPEX TOTAL — PET</t>
  </si>
  <si>
    <t>Concepto</t>
  </si>
  <si>
    <t>Monto MXN</t>
  </si>
  <si>
    <t>Equipamiento</t>
  </si>
  <si>
    <t>Adecuación de nave</t>
  </si>
  <si>
    <t>Gastos preoperativos</t>
  </si>
  <si>
    <t>Capital de trabajo (2 meses OPEX)</t>
  </si>
  <si>
    <t>CAPEX TOTAL</t>
  </si>
  <si>
    <t>BLOQUE D — OPEX MENSUAL — PET</t>
  </si>
  <si>
    <t>Esc 40% (base)</t>
  </si>
  <si>
    <t>Esc 30%</t>
  </si>
  <si>
    <t>Esc 80%</t>
  </si>
  <si>
    <t>CMV — Compra MP en centros de acopio (PET)</t>
  </si>
  <si>
    <t>Renta</t>
  </si>
  <si>
    <t>Energía eléctrica</t>
  </si>
  <si>
    <t>Nómina con prestaciones</t>
  </si>
  <si>
    <t>Transporte/combustible</t>
  </si>
  <si>
    <t>Mantenimiento equipo (2.5% CAPEX/12)</t>
  </si>
  <si>
    <t>Insumos (agua proceso, empaques, químicos)</t>
  </si>
  <si>
    <t>Agua y servicios</t>
  </si>
  <si>
    <t>Seguros (0.5% CAPEX total / 12)</t>
  </si>
  <si>
    <t>Flete a comprador (8% ingreso 40%)</t>
  </si>
  <si>
    <t>Consumibles de línea (cuchillas, filtros, bandas, refacciones)</t>
  </si>
  <si>
    <t>TOTAL OPEX MENSUAL</t>
  </si>
  <si>
    <t>Nota analítica: La extrusora (escenario 80%) representa el componente de mayor CAPEX y consumo energético. Los escenarios 30-40% (flake) son más eficientes energéticamente.</t>
  </si>
  <si>
    <t>BLOQUE E — INGRESOS MENSUALES POR ESCENARIO — PET</t>
  </si>
  <si>
    <t>Esc 40%</t>
  </si>
  <si>
    <t>Volumen entrada t/mes, 100%=  90%= 1360,8</t>
  </si>
  <si>
    <t>Volumen procesado internamente t/mes</t>
  </si>
  <si>
    <t xml:space="preserve">Se asume que del 100% recolectado el 10% se perdera en trayecto y se quedara en los camiones, luego de ese 90%, asumimos, que los recicaldores podran comprarlo a 5,5 y procesarlo para despues comercializarlo , se crearon 3 escenarios de aprovechamiento, el 30%, 40% y 80%. </t>
  </si>
  <si>
    <t>Precio producto procesado MXN/kg</t>
  </si>
  <si>
    <t>Ingreso por material procesado</t>
  </si>
  <si>
    <t>Volumen comercializado t/mes</t>
  </si>
  <si>
    <t>Precio comercialización MXN/kg</t>
  </si>
  <si>
    <t>Ingreso por comercialización</t>
  </si>
  <si>
    <t>INGRESO TOTAL MENSUAL</t>
  </si>
  <si>
    <t>(–) Merma 10%</t>
  </si>
  <si>
    <t>INGRESO NETO MENSUAL</t>
  </si>
  <si>
    <t>Precios de referencia marzo 2026. Sujetos a revisión trimestral con base en índices ANIPAC, CEMPRE México y cotizaciones directas de compradores ancla.</t>
  </si>
  <si>
    <t>BLOQUE F — ESTADO DE RESULTADOS P&amp;L (Año 1 a Año 10) — PET</t>
  </si>
  <si>
    <t>P&amp;L — Esc 30% (30% procesado)</t>
  </si>
  <si>
    <t>Año 1</t>
  </si>
  <si>
    <t>Año 2</t>
  </si>
  <si>
    <t>Año 3</t>
  </si>
  <si>
    <t>Año 4</t>
  </si>
  <si>
    <t>Año 5</t>
  </si>
  <si>
    <t>Año 6</t>
  </si>
  <si>
    <t>Año 7</t>
  </si>
  <si>
    <t>Año 8</t>
  </si>
  <si>
    <t>Año 9</t>
  </si>
  <si>
    <t>Año 10</t>
  </si>
  <si>
    <t>Ingresos brutos</t>
  </si>
  <si>
    <t>Ingresos netos</t>
  </si>
  <si>
    <t>(–) OPEX total</t>
  </si>
  <si>
    <t>EBITDA</t>
  </si>
  <si>
    <t>Margen EBITDA %</t>
  </si>
  <si>
    <t>(–) Depreciación y amortización</t>
  </si>
  <si>
    <t>EBIT</t>
  </si>
  <si>
    <t>(–) Intereses</t>
  </si>
  <si>
    <t>EBT</t>
  </si>
  <si>
    <t>(–) ISR 30%</t>
  </si>
  <si>
    <t>(–) PTU 10%</t>
  </si>
  <si>
    <t>Utilidad neta</t>
  </si>
  <si>
    <t>(–) Reserva legal 5%</t>
  </si>
  <si>
    <t>Utilidad distribuible</t>
  </si>
  <si>
    <t>P&amp;L — Esc 40% (40% procesado)</t>
  </si>
  <si>
    <t>P&amp;L — Esc 80% (80% procesado)</t>
  </si>
  <si>
    <t>BLOQUE G — DEPRECIACIÓN Y AMORTIZACIÓN — PET</t>
  </si>
  <si>
    <t>Activo</t>
  </si>
  <si>
    <t>Valor CAPEX</t>
  </si>
  <si>
    <t>Vida útil</t>
  </si>
  <si>
    <t>Dep anual</t>
  </si>
  <si>
    <t>Equipamiento (maquinaria)</t>
  </si>
  <si>
    <t>TOTAL DEPRECIACIÓN ANUAL</t>
  </si>
  <si>
    <t>BLOQUE H — TABLA DE DEUDA — PET</t>
  </si>
  <si>
    <t>Deuda — Esc 30%</t>
  </si>
  <si>
    <t>Monto deuda</t>
  </si>
  <si>
    <t>Tasa anual</t>
  </si>
  <si>
    <t>Plazo (años)</t>
  </si>
  <si>
    <t>Año 0</t>
  </si>
  <si>
    <t>Saldo inicial</t>
  </si>
  <si>
    <t>Disposición</t>
  </si>
  <si>
    <t>Amortización capital</t>
  </si>
  <si>
    <t>Intereses devengados</t>
  </si>
  <si>
    <t>Servicio deuda total</t>
  </si>
  <si>
    <t>Saldo final</t>
  </si>
  <si>
    <t>DSCR</t>
  </si>
  <si>
    <t>-</t>
  </si>
  <si>
    <t>Deuda — Esc 40%</t>
  </si>
  <si>
    <t>Deuda — Esc 80%</t>
  </si>
  <si>
    <t>BLOQUE I — FLUJO DE CAJA LIBRE FCF — PET</t>
  </si>
  <si>
    <t>FCF — Esc 30%</t>
  </si>
  <si>
    <t>(–) CAPEX inicial</t>
  </si>
  <si>
    <t>(–) CAPEX reposición</t>
  </si>
  <si>
    <t>(–) Variación capital de trabajo</t>
  </si>
  <si>
    <t>(–) Servicio de deuda</t>
  </si>
  <si>
    <t>FCF disponible</t>
  </si>
  <si>
    <t>FCF acumulado</t>
  </si>
  <si>
    <t>FCF — Esc 40%</t>
  </si>
  <si>
    <t>FCF — Esc 80%</t>
  </si>
  <si>
    <t>BLOQUE J — BALANCE GENERAL SIMPLIFICADO — PET</t>
  </si>
  <si>
    <t>Balance — Esc 30%</t>
  </si>
  <si>
    <t>ACTIVOS</t>
  </si>
  <si>
    <t>Activos fijos netos</t>
  </si>
  <si>
    <t>Capital de trabajo neto</t>
  </si>
  <si>
    <t>Total activos</t>
  </si>
  <si>
    <t>PASIVOS Y CAPITAL</t>
  </si>
  <si>
    <t>Deuda vigente</t>
  </si>
  <si>
    <t>Capital contable</t>
  </si>
  <si>
    <t>Total pasivo + capital</t>
  </si>
  <si>
    <t>Verificación (A = P+C)</t>
  </si>
  <si>
    <t>Balance — Esc 40%</t>
  </si>
  <si>
    <t>Balance — Esc 80%</t>
  </si>
  <si>
    <t>BLOQUE K — INDICADORES CONSOLIDADOS — PET</t>
  </si>
  <si>
    <t>Indicador</t>
  </si>
  <si>
    <t>Margen de seguridad sobre OPEX</t>
  </si>
  <si>
    <t>Valor terminal Año 10</t>
  </si>
  <si>
    <t>BLOQUE L — ANÁLISIS DE SENSIBILIDAD — PET</t>
  </si>
  <si>
    <t>Tabla sensibilidad cruzada: EBITDA mensual (Precios × Escenario)</t>
  </si>
  <si>
    <t>Precios \\ Escenario</t>
  </si>
  <si>
    <t>Precios -20%</t>
  </si>
  <si>
    <t>Precios -10%</t>
  </si>
  <si>
    <t>Precios Base</t>
  </si>
  <si>
    <t>Precios +10%</t>
  </si>
  <si>
    <t>Precios +20%</t>
  </si>
  <si>
    <t>Escenario pesimista: 50% captura sobre base</t>
  </si>
  <si>
    <t>EBITDA mensual @50% captura</t>
  </si>
  <si>
    <t>Generado: 2026-03-26 21:26 | Modelo Recicladoras por Giro — PET — Capítulo SLP</t>
  </si>
  <si>
    <t>BLOQUE A — SUPUESTOS PARAMETRIZADOS — PAPEL-CARTON</t>
  </si>
  <si>
    <t>Parámetros específicos — Papel-Carton</t>
  </si>
  <si>
    <t xml:space="preserve">Se asume que del 100% recolectado el 10% se perdera en trayecto y se quedara en los camiones, luego de ese 90%, asumimos, que los recicaldores podran comprarlo a 2,5 y procesarlo para despues comercializarlo , se crearon 3 escenarios de aprovechamiento, el 30%, 40% y 80%. </t>
  </si>
  <si>
    <t>Precio Papel-Carton procesado</t>
  </si>
  <si>
    <t>Precio compra MP centros de acopio (Papel-Cartón)</t>
  </si>
  <si>
    <t>Nómina mensual (8 operarios + 2 supervisores + 1 chofer)</t>
  </si>
  <si>
    <t>(8*10000+2*17500+1*13500)*1.35</t>
  </si>
  <si>
    <t>MRS Logística SLP, Grupo Altsa, Bio Pappel Monterrey</t>
  </si>
  <si>
    <t>Condiciones: humedad &lt;12%, sin cartón bituminoso</t>
  </si>
  <si>
    <t>Supuesto operativo (volumen mayor Papel-Cartón)</t>
  </si>
  <si>
    <t>BLOQUE B — CAPEX CON CONSUMOS ENERGÉTICOS — PAPEL-CARTON</t>
  </si>
  <si>
    <t>Prensa embaladora horizontal 5t/h</t>
  </si>
  <si>
    <t>TEVA/Imabe</t>
  </si>
  <si>
    <t>Guillotina/Trituradora cartón</t>
  </si>
  <si>
    <t>Banda transportadora 10m</t>
  </si>
  <si>
    <t>Báscula 3,000kg</t>
  </si>
  <si>
    <t>Torrey PLP3000</t>
  </si>
  <si>
    <t>Montacargas gas LP</t>
  </si>
  <si>
    <t>Toyota 8FGU25</t>
  </si>
  <si>
    <t>Gas LP: 2.5 kg/hora</t>
  </si>
  <si>
    <t>COSTO GAS LP MENSUAL (equipos)</t>
  </si>
  <si>
    <t>BLOQUE C — CAPEX TOTAL — PAPEL-CARTON</t>
  </si>
  <si>
    <t>BLOQUE D — OPEX MENSUAL — PAPEL-CARTON</t>
  </si>
  <si>
    <t>CMV — Compra MP en centros de acopio (Papel-Cartón)</t>
  </si>
  <si>
    <t>Combustible gas LP (equipos)</t>
  </si>
  <si>
    <t>Nota analítica: RIESGO PRINCIPAL: humedad. El costo de nave seca (techo reforzado, ventilación baja humedad) es el componente de mayor sensibilidad del CAPEX. Nave impermeable obligatoria.</t>
  </si>
  <si>
    <t>BLOQUE E — INGRESOS MENSUALES POR ESCENARIO — PAPEL-CARTON</t>
  </si>
  <si>
    <t>BLOQUE F — ESTADO DE RESULTADOS P&amp;L (Año 1 a Año 10) — PAPEL-CARTON</t>
  </si>
  <si>
    <t>BLOQUE G — DEPRECIACIÓN Y AMORTIZACIÓN — PAPEL-CARTON</t>
  </si>
  <si>
    <t>BLOQUE H — TABLA DE DEUDA — PAPEL-CARTON</t>
  </si>
  <si>
    <t>BLOQUE I — FLUJO DE CAJA LIBRE FCF — PAPEL-CARTON</t>
  </si>
  <si>
    <t>BLOQUE J — BALANCE GENERAL SIMPLIFICADO — PAPEL-CARTON</t>
  </si>
  <si>
    <t>BLOQUE K — INDICADORES CONSOLIDADOS — PAPEL-CARTON</t>
  </si>
  <si>
    <t>BLOQUE L — ANÁLISIS DE SENSIBILIDAD — PAPEL-CARTON</t>
  </si>
  <si>
    <t>Generado: 2026-03-26 21:26 | Modelo Recicladoras por Giro — Papel-Carton — Capítulo SLP</t>
  </si>
  <si>
    <t>BLOQUE A — SUPUESTOS PARAMETRIZADOS — ALUMINIO</t>
  </si>
  <si>
    <t>Parámetros específicos — Aluminio</t>
  </si>
  <si>
    <t>Precio Aluminio procesado</t>
  </si>
  <si>
    <t>Precio compra MP centros de acopio (Aluminio)</t>
  </si>
  <si>
    <t>Nómina mensual (5 operarios + 1 supervisor + 1 fundidor especialista)</t>
  </si>
  <si>
    <t>(5*10000+1*17500+1*22000)*1.35</t>
  </si>
  <si>
    <t>RRECIMETSA, 
ARZYZ, 
industria metalmecánica SLP</t>
  </si>
  <si>
    <t>Pureza ≥98% Al, sin pintura ni recubrimientos</t>
  </si>
  <si>
    <t>BLOQUE B — CAPEX CON CONSUMOS ENERGÉTICOS — ALUMINIO</t>
  </si>
  <si>
    <t>Horno fundición aluminio 300kg/carga</t>
  </si>
  <si>
    <t>Nacional/Importado</t>
  </si>
  <si>
    <t>Usa gas LP: 18 kg/hora</t>
  </si>
  <si>
    <t>Prensa compactadora aluminio</t>
  </si>
  <si>
    <t>Lingoteras + equipo colado</t>
  </si>
  <si>
    <t>Báscula 500kg</t>
  </si>
  <si>
    <t>Rhino</t>
  </si>
  <si>
    <t>EPI protección individual</t>
  </si>
  <si>
    <t>Costo único</t>
  </si>
  <si>
    <t>BLOQUE C — CAPEX TOTAL — ALUMINIO</t>
  </si>
  <si>
    <t>BLOQUE D — OPEX MENSUAL — ALUMINIO</t>
  </si>
  <si>
    <t>CMV — Compra MP en centros de acopio (Aluminio)</t>
  </si>
  <si>
    <t>Nota analítica: RIESGO PRINCIPAL: El horno es el CAPEX más alto y el consumo energético más intensivo. En el escenario 30% puede ser más rentable que el 80% si el precio del gas LP supera $25/kg. La fundición requiere licencia ambiental especial.</t>
  </si>
  <si>
    <t>BLOQUE E — INGRESOS MENSUALES POR ESCENARIO — ALUMINIO</t>
  </si>
  <si>
    <t>Se asume que del 100% recolectado el 10% se perdera en trayecto y se quedara en los camiones, luego de ese 90%, asumimos, que los recicaldores podran comprarlo a 15,10 y procesarlo para despues comercializarlo , se crearon 3 escenarios de aprovechamiento, el 30%, 40% y 80%.</t>
  </si>
  <si>
    <t>BLOQUE F — ESTADO DE RESULTADOS P&amp;L (Año 1 a Año 10) — ALUMINIO</t>
  </si>
  <si>
    <t>BLOQUE G — DEPRECIACIÓN Y AMORTIZACIÓN — ALUMINIO</t>
  </si>
  <si>
    <t>BLOQUE H — TABLA DE DEUDA — ALUMINIO</t>
  </si>
  <si>
    <t>BLOQUE I — FLUJO DE CAJA LIBRE FCF — ALUMINIO</t>
  </si>
  <si>
    <t>BLOQUE J — BALANCE GENERAL SIMPLIFICADO — ALUMINIO</t>
  </si>
  <si>
    <t>BLOQUE K — INDICADORES CONSOLIDADOS — ALUMINIO</t>
  </si>
  <si>
    <t>BLOQUE L — ANÁLISIS DE SENSIBILIDAD — ALUMINIO</t>
  </si>
  <si>
    <t>Generado: 2026-03-26 21:26 | Modelo Recicladoras por Giro — Aluminio — Capítulo SLP</t>
  </si>
  <si>
    <t>BLOQUE A — SUPUESTOS PARAMETRIZADOS — VIDRIO</t>
  </si>
  <si>
    <t>Parámetros específicos — Vidrio</t>
  </si>
  <si>
    <t>Precio cullet transparente</t>
  </si>
  <si>
    <t>Precio cullet verde</t>
  </si>
  <si>
    <t>Precio cullet ámbar</t>
  </si>
  <si>
    <t>Precio compra MP centros de acopio (Vidrio)</t>
  </si>
  <si>
    <t>Precio procesado promedio ponderado</t>
  </si>
  <si>
    <t>40%×$4.50+35%×$3.20+25%×$2.80</t>
  </si>
  <si>
    <t>Nómina mensual (6 operarios + 1 supervisor)</t>
  </si>
  <si>
    <t>(6*10000+1*17500)*1.35</t>
  </si>
  <si>
    <t>Vidriera Monterrey (OWENS-ILLINOIS), Vitro, Grupo Altsa</t>
  </si>
  <si>
    <t>Pureza mínima 98% por color, máx 0.5% metales</t>
  </si>
  <si>
    <t>BLOQUE B — CAPEX CON CONSUMOS ENERGÉTICOS — VIDRIO</t>
  </si>
  <si>
    <t>Molino de vidrio 2t/h</t>
  </si>
  <si>
    <t>Genérico nacional</t>
  </si>
  <si>
    <t>Separador por color (banda óptica)</t>
  </si>
  <si>
    <t>Genérico/importado</t>
  </si>
  <si>
    <t>Banda transportadora 8m</t>
  </si>
  <si>
    <t>Torrey</t>
  </si>
  <si>
    <t>Herramienta menor + EPI vidrio</t>
  </si>
  <si>
    <t>BLOQUE C — CAPEX TOTAL — VIDRIO</t>
  </si>
  <si>
    <t>BLOQUE D — OPEX MENSUAL — VIDRIO</t>
  </si>
  <si>
    <t>CMV — Compra MP en centros de acopio (Vidrio)</t>
  </si>
  <si>
    <t>Nota analítica: RIESGO PRINCIPAL: Vidrio es el material de menor ingreso/kg. La rentabilidad depende del volumen y la separación correcta por color. Vidrio mixto no separado: $2.50/kg vs cullet transparente: $4.50/kg (diferencia 80%). Depende de calidad del centro de acopio.</t>
  </si>
  <si>
    <t>BLOQUE E — INGRESOS MENSUALES POR ESCENARIO — VIDRIO</t>
  </si>
  <si>
    <t>BLOQUE F — ESTADO DE RESULTADOS P&amp;L (Año 1 a Año 10) — VIDRIO</t>
  </si>
  <si>
    <t>BLOQUE G — DEPRECIACIÓN Y AMORTIZACIÓN — VIDRIO</t>
  </si>
  <si>
    <t>BLOQUE H — TABLA DE DEUDA — VIDRIO</t>
  </si>
  <si>
    <t xml:space="preserve">DSCR ( indice de cobetura del servicio de la deuda) </t>
  </si>
  <si>
    <t>BLOQUE I — FLUJO DE CAJA LIBRE FCF — VIDRIO</t>
  </si>
  <si>
    <t>BLOQUE J — BALANCE GENERAL SIMPLIFICADO — VIDRIO</t>
  </si>
  <si>
    <t>BLOQUE K — INDICADORES CONSOLIDADOS — VIDRIO</t>
  </si>
  <si>
    <t>BLOQUE L — ANÁLISIS DE SENSIBILIDAD — VIDRIO</t>
  </si>
  <si>
    <t>Generado: 2026-03-26 21:26 | Modelo Recicladoras por Giro — Vidrio — Capítulo SLP</t>
  </si>
  <si>
    <t>BLOQUE A — SUPUESTOS PARAMETRIZADOS — ORGANICOS-COMPOSTA</t>
  </si>
  <si>
    <t>Parámetros específicos — Organicos-Composta</t>
  </si>
  <si>
    <t>Rendimiento composta kg/kg entrada</t>
  </si>
  <si>
    <t>Pérdida humedad en proceso</t>
  </si>
  <si>
    <t>Precio bolsa 5kg</t>
  </si>
  <si>
    <t>MXN/bolsa</t>
  </si>
  <si>
    <t>Precio bolsa 20kg</t>
  </si>
  <si>
    <t>Precio bulto 50kg</t>
  </si>
  <si>
    <t>MXN/bulto</t>
  </si>
  <si>
    <t>Precio compra MP centros de acopio (Orgánicos)</t>
  </si>
  <si>
    <t>Precio compra orgánicos en centros de acopio</t>
  </si>
  <si>
    <t>Precio orgánico a granel</t>
  </si>
  <si>
    <t>Precio venta a granel agricultura. Ref. mercado SLP 0.80-1.20/kg a granel, 1.50-4.00/kg ensacado retail. Vigencia abr-2026. Revisar trimestralmente con compradores locales (viveros, huertas, proyectos agroecológicos).</t>
  </si>
  <si>
    <t>Mix ventas 5kg</t>
  </si>
  <si>
    <t>Mix ventas 20kg</t>
  </si>
  <si>
    <t>Mix ventas 50kg</t>
  </si>
  <si>
    <t>meses OPEX</t>
  </si>
  <si>
    <t>Proceso 60-90 días</t>
  </si>
  <si>
    <t>Nómina mensual (
10 operarios + 1 supervisor + 1 técnico agronómico)</t>
  </si>
  <si>
    <t>(10*10000+1*17500+1*20000)*1.35</t>
  </si>
  <si>
    <t>Viveros SLP 40%, ferreterías 30%, autoservicio 20%, agricultores 10%</t>
  </si>
  <si>
    <t>Mix ventas: 40% bolsas 5kg ($45), 35% bolsas 20kg ($120), 25% bultos 50kg ($220)</t>
  </si>
  <si>
    <t>Supuesto operativo (incl. agua para compostaje)</t>
  </si>
  <si>
    <t>BLOQUE B — CAPEX CON CONSUMOS ENERGÉTICOS — ORGANICOS-COMPOSTA</t>
  </si>
  <si>
    <t>Biodigestor 25m³/día</t>
  </si>
  <si>
    <t>Genera biogás ~$0.20/kWh equiv</t>
  </si>
  <si>
    <t>Volteo composta mecánico (trommel) 10t/h</t>
  </si>
  <si>
    <t>Tamizadora vibratoria</t>
  </si>
  <si>
    <t>Ensacadora semiautomática</t>
  </si>
  <si>
    <t>Herramienta menor + equipo volteo</t>
  </si>
  <si>
    <t>BLOQUE C — CAPEX TOTAL — ORGANICOS-COMPOSTA</t>
  </si>
  <si>
    <t>Capital de trabajo (3 meses OPEX)</t>
  </si>
  <si>
    <t>BLOQUE D — OPEX MENSUAL — ORGANICOS-COMPOSTA</t>
  </si>
  <si>
    <t>CMV — Compra MP en centros de acopio (Orgánicos)</t>
  </si>
  <si>
    <t>BLOQUE E — INGRESOS MENSUALES POR ESCENARIO — ORGANICOS-COMPOSTA</t>
  </si>
  <si>
    <t>Composta producida t/mes</t>
  </si>
  <si>
    <t>Composta producida kg/mes</t>
  </si>
  <si>
    <t>kg/mes</t>
  </si>
  <si>
    <t>Ingreso bolsas 5kg (40% mix)</t>
  </si>
  <si>
    <t>Ingreso bolsas 20kg (35% mix)</t>
  </si>
  <si>
    <t>Ingreso bultos 50kg (25% mix)</t>
  </si>
  <si>
    <t>Ingreso por material procesado (bolsas)</t>
  </si>
  <si>
    <t>BLOQUE F — ESTADO DE RESULTADOS P&amp;L (Año 1 a Año 10) — ORGANICOS-COMPOSTA</t>
  </si>
  <si>
    <t>BLOQUE G — DEPRECIACIÓN Y AMORTIZACIÓN — ORGANICOS-COMPOSTA</t>
  </si>
  <si>
    <t>BLOQUE H — TABLA DE DEUDA — ORGANICOS-COMPOSTA</t>
  </si>
  <si>
    <t>BLOQUE I — FLUJO DE CAJA LIBRE FCF — ORGANICOS-COMPOSTA</t>
  </si>
  <si>
    <t>BLOQUE J — BALANCE GENERAL SIMPLIFICADO — ORGANICOS-COMPOSTA</t>
  </si>
  <si>
    <t>BLOQUE K — INDICADORES CONSOLIDADOS — ORGANICOS-COMPOSTA</t>
  </si>
  <si>
    <t>BLOQUE L — ANÁLISIS DE SENSIBILIDAD — ORGANICOS-COMPOSTA</t>
  </si>
  <si>
    <t>Generado: 2026-03-26 21:26 | Modelo Recicladoras por Giro — Organicos-Composta — Capítulo SLP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</si>
</sst>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\$#,##0"/>
    <numFmt numFmtId="165" formatCode="0.0%"/>
    <numFmt numFmtId="166" formatCode="0.0&quot; meses&quot;"/>
    <numFmt numFmtId="167" formatCode="0.0\x"/>
    <numFmt numFmtId="168" formatCode="#,##0.0"/>
    <numFmt numFmtId="169" formatCode="d.m"/>
    <numFmt numFmtId="170" formatCode="dd.mm"/>
    <numFmt numFmtId="171" formatCode="yyyy.m"/>
    <numFmt numFmtId="172" formatCode="0.0"/>
  </numFmts>
  <fonts count="18">
    <font>
      <sz val="11.0"/>
      <color theme="1"/>
      <name val="Calibri"/>
      <scheme val="minor"/>
    </font>
    <font>
      <b/>
      <sz val="12.0"/>
      <color rgb="FFFFFFFF"/>
      <name val="Calibri"/>
      <scheme val="minor"/>
    </font>
    <font>
      <color theme="1"/>
      <name val="Calibri"/>
      <scheme val="minor"/>
    </font>
    <font>
      <b/>
      <sz val="12.0"/>
      <color rgb="FFFFFFFF"/>
      <name val="Calibri"/>
    </font>
    <font/>
    <font>
      <i/>
      <sz val="9.0"/>
      <color rgb="FF666666"/>
      <name val="Calibri"/>
    </font>
    <font>
      <b/>
      <i/>
      <sz val="11.0"/>
      <color rgb="FF666666"/>
      <name val="Calibri"/>
    </font>
    <font>
      <b/>
      <sz val="11.0"/>
      <color rgb="FFFFFFFF"/>
      <name val="Calibri"/>
    </font>
    <font>
      <b/>
      <color rgb="FFFFFFFF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b/>
      <color theme="1"/>
      <name val="Calibri"/>
      <scheme val="minor"/>
    </font>
    <font>
      <b/>
      <sz val="11.0"/>
      <color theme="1"/>
      <name val="Calibri"/>
    </font>
    <font>
      <b/>
      <sz val="10.0"/>
      <color rgb="FFFFFFFF"/>
      <name val="Calibri"/>
    </font>
    <font>
      <b/>
      <sz val="11.0"/>
      <color rgb="FFFFFFFF"/>
      <name val="Calibri"/>
      <scheme val="minor"/>
    </font>
    <font>
      <b/>
      <sz val="10.0"/>
      <color rgb="FFFFFFFF"/>
      <name val="Calibri"/>
      <scheme val="minor"/>
    </font>
    <font>
      <sz val="11.0"/>
      <color rgb="FF0000FF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1A5C2A"/>
        <bgColor rgb="FF1A5C2A"/>
      </patternFill>
    </fill>
    <fill>
      <patternFill patternType="solid">
        <fgColor rgb="FFF5F5F5"/>
        <bgColor rgb="FFF5F5F5"/>
      </patternFill>
    </fill>
    <fill>
      <patternFill patternType="solid">
        <fgColor rgb="FF2E7D32"/>
        <bgColor rgb="FF2E7D32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6AA84F"/>
        <bgColor rgb="FF6AA84F"/>
      </patternFill>
    </fill>
    <fill>
      <patternFill patternType="solid">
        <fgColor rgb="FF37474F"/>
        <bgColor rgb="FF37474F"/>
      </patternFill>
    </fill>
    <fill>
      <patternFill patternType="solid">
        <fgColor rgb="FFFFF3E0"/>
        <bgColor rgb="FFFFF3E0"/>
      </patternFill>
    </fill>
    <fill>
      <patternFill patternType="solid">
        <fgColor rgb="FF38761D"/>
        <bgColor rgb="FF38761D"/>
      </patternFill>
    </fill>
    <fill>
      <patternFill patternType="solid">
        <fgColor rgb="FFE3F2FD"/>
        <bgColor rgb="FFE3F2FD"/>
      </patternFill>
    </fill>
    <fill>
      <patternFill patternType="solid">
        <fgColor rgb="FF93C47D"/>
        <bgColor rgb="FF93C47D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D2E2B"/>
      </left>
      <top style="medium">
        <color rgb="FF0D2E2B"/>
      </top>
      <bottom style="medium">
        <color rgb="FF0D2E2B"/>
      </bottom>
    </border>
    <border>
      <top style="medium">
        <color rgb="FF0D2E2B"/>
      </top>
      <bottom style="medium">
        <color rgb="FF0D2E2B"/>
      </bottom>
    </border>
    <border>
      <right style="medium">
        <color rgb="FF0D2E2B"/>
      </right>
      <top style="medium">
        <color rgb="FF0D2E2B"/>
      </top>
      <bottom style="medium">
        <color rgb="FF0D2E2B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2" numFmtId="0" xfId="0" applyFill="1" applyFont="1"/>
    <xf borderId="1" fillId="4" fontId="3" numFmtId="0" xfId="0" applyAlignment="1" applyBorder="1" applyFill="1" applyFont="1">
      <alignment shrinkToFit="0" vertical="bottom" wrapText="0"/>
    </xf>
    <xf borderId="2" fillId="0" fontId="4" numFmtId="0" xfId="0" applyBorder="1" applyFont="1"/>
    <xf borderId="3" fillId="0" fontId="4" numFmtId="0" xfId="0" applyBorder="1" applyFont="1"/>
    <xf borderId="0" fillId="3" fontId="1" numFmtId="0" xfId="0" applyFont="1"/>
    <xf borderId="0" fillId="5" fontId="2" numFmtId="0" xfId="0" applyFill="1" applyFont="1"/>
    <xf borderId="0" fillId="5" fontId="5" numFmtId="0" xfId="0" applyAlignment="1" applyFont="1">
      <alignment shrinkToFit="0" vertical="bottom" wrapText="0"/>
    </xf>
    <xf borderId="0" fillId="6" fontId="2" numFmtId="0" xfId="0" applyFill="1" applyFont="1"/>
    <xf borderId="4" fillId="6" fontId="6" numFmtId="0" xfId="0" applyAlignment="1" applyBorder="1" applyFont="1">
      <alignment horizontal="center" shrinkToFit="0" vertical="center" wrapText="0"/>
    </xf>
    <xf borderId="4" fillId="6" fontId="7" numFmtId="0" xfId="0" applyAlignment="1" applyBorder="1" applyFont="1">
      <alignment horizontal="center" shrinkToFit="0" vertical="center" wrapText="0"/>
    </xf>
    <xf borderId="5" fillId="2" fontId="3" numFmtId="0" xfId="0" applyAlignment="1" applyBorder="1" applyFont="1">
      <alignment shrinkToFit="0" vertical="bottom" wrapText="0"/>
    </xf>
    <xf borderId="6" fillId="0" fontId="4" numFmtId="0" xfId="0" applyBorder="1" applyFont="1"/>
    <xf borderId="6" fillId="5" fontId="8" numFmtId="0" xfId="0" applyBorder="1" applyFont="1"/>
    <xf borderId="7" fillId="5" fontId="8" numFmtId="0" xfId="0" applyBorder="1" applyFont="1"/>
    <xf borderId="0" fillId="5" fontId="8" numFmtId="0" xfId="0" applyFont="1"/>
    <xf borderId="8" fillId="3" fontId="9" numFmtId="0" xfId="0" applyAlignment="1" applyBorder="1" applyFont="1">
      <alignment horizontal="left" shrinkToFit="0" vertical="center" wrapText="0"/>
    </xf>
    <xf borderId="8" fillId="3" fontId="10" numFmtId="164" xfId="0" applyAlignment="1" applyBorder="1" applyFont="1" applyNumberFormat="1">
      <alignment horizontal="right" shrinkToFit="0" vertical="center" wrapText="0"/>
    </xf>
    <xf borderId="9" fillId="5" fontId="9" numFmtId="0" xfId="0" applyAlignment="1" applyBorder="1" applyFont="1">
      <alignment horizontal="left" shrinkToFit="0" vertical="center" wrapText="0"/>
    </xf>
    <xf borderId="9" fillId="5" fontId="10" numFmtId="164" xfId="0" applyAlignment="1" applyBorder="1" applyFont="1" applyNumberFormat="1">
      <alignment horizontal="right" shrinkToFit="0" vertical="center" wrapText="0"/>
    </xf>
    <xf borderId="9" fillId="3" fontId="11" numFmtId="0" xfId="0" applyAlignment="1" applyBorder="1" applyFont="1">
      <alignment horizontal="left" shrinkToFit="0" vertical="center" wrapText="0"/>
    </xf>
    <xf borderId="9" fillId="3" fontId="11" numFmtId="164" xfId="0" applyAlignment="1" applyBorder="1" applyFont="1" applyNumberFormat="1">
      <alignment horizontal="right" shrinkToFit="0" vertical="center" wrapText="0"/>
    </xf>
    <xf borderId="0" fillId="3" fontId="12" numFmtId="0" xfId="0" applyFont="1"/>
    <xf borderId="9" fillId="5" fontId="10" numFmtId="165" xfId="0" applyAlignment="1" applyBorder="1" applyFont="1" applyNumberFormat="1">
      <alignment horizontal="right" shrinkToFit="0" vertical="center" wrapText="0"/>
    </xf>
    <xf borderId="9" fillId="3" fontId="9" numFmtId="0" xfId="0" applyAlignment="1" applyBorder="1" applyFont="1">
      <alignment horizontal="left" shrinkToFit="0" vertical="center" wrapText="0"/>
    </xf>
    <xf borderId="9" fillId="3" fontId="10" numFmtId="164" xfId="0" applyAlignment="1" applyBorder="1" applyFont="1" applyNumberFormat="1">
      <alignment horizontal="right" shrinkToFit="0" vertical="center" wrapText="0"/>
    </xf>
    <xf borderId="5" fillId="4" fontId="7" numFmtId="0" xfId="0" applyAlignment="1" applyBorder="1" applyFont="1">
      <alignment shrinkToFit="0" vertical="bottom" wrapText="0"/>
    </xf>
    <xf borderId="6" fillId="3" fontId="8" numFmtId="0" xfId="0" applyBorder="1" applyFont="1"/>
    <xf borderId="7" fillId="3" fontId="8" numFmtId="0" xfId="0" applyBorder="1" applyFont="1"/>
    <xf borderId="0" fillId="3" fontId="8" numFmtId="0" xfId="0" applyFont="1"/>
    <xf borderId="8" fillId="5" fontId="9" numFmtId="0" xfId="0" applyAlignment="1" applyBorder="1" applyFont="1">
      <alignment horizontal="left" shrinkToFit="0" vertical="center" wrapText="0"/>
    </xf>
    <xf borderId="8" fillId="5" fontId="10" numFmtId="164" xfId="0" applyAlignment="1" applyBorder="1" applyFont="1" applyNumberFormat="1">
      <alignment horizontal="right" shrinkToFit="0" vertical="center" wrapText="0"/>
    </xf>
    <xf borderId="9" fillId="5" fontId="13" numFmtId="0" xfId="0" applyAlignment="1" applyBorder="1" applyFont="1">
      <alignment horizontal="left" shrinkToFit="0" vertical="center" wrapText="0"/>
    </xf>
    <xf borderId="9" fillId="5" fontId="11" numFmtId="164" xfId="0" applyAlignment="1" applyBorder="1" applyFont="1" applyNumberFormat="1">
      <alignment horizontal="right" shrinkToFit="0" vertical="center" wrapText="0"/>
    </xf>
    <xf borderId="0" fillId="5" fontId="12" numFmtId="0" xfId="0" applyFont="1"/>
    <xf borderId="9" fillId="3" fontId="10" numFmtId="165" xfId="0" applyAlignment="1" applyBorder="1" applyFont="1" applyNumberFormat="1">
      <alignment horizontal="right" shrinkToFit="0" vertical="center" wrapText="0"/>
    </xf>
    <xf borderId="9" fillId="3" fontId="13" numFmtId="0" xfId="0" applyAlignment="1" applyBorder="1" applyFont="1">
      <alignment horizontal="left" shrinkToFit="0" vertical="center" wrapText="0"/>
    </xf>
    <xf borderId="9" fillId="3" fontId="11" numFmtId="165" xfId="0" applyAlignment="1" applyBorder="1" applyFont="1" applyNumberFormat="1">
      <alignment horizontal="right" shrinkToFit="0" vertical="center" wrapText="0"/>
    </xf>
    <xf borderId="9" fillId="5" fontId="11" numFmtId="165" xfId="0" applyAlignment="1" applyBorder="1" applyFont="1" applyNumberFormat="1">
      <alignment horizontal="right" shrinkToFit="0" vertical="center" wrapText="0"/>
    </xf>
    <xf borderId="9" fillId="3" fontId="10" numFmtId="166" xfId="0" applyAlignment="1" applyBorder="1" applyFont="1" applyNumberFormat="1">
      <alignment horizontal="right" shrinkToFit="0" vertical="center" wrapText="0"/>
    </xf>
    <xf borderId="9" fillId="5" fontId="10" numFmtId="166" xfId="0" applyAlignment="1" applyBorder="1" applyFont="1" applyNumberFormat="1">
      <alignment horizontal="right" shrinkToFit="0" vertical="center" wrapText="0"/>
    </xf>
    <xf borderId="9" fillId="3" fontId="10" numFmtId="167" xfId="0" applyAlignment="1" applyBorder="1" applyFont="1" applyNumberFormat="1">
      <alignment horizontal="right" shrinkToFit="0" vertical="center" wrapText="0"/>
    </xf>
    <xf borderId="8" fillId="5" fontId="10" numFmtId="167" xfId="0" applyAlignment="1" applyBorder="1" applyFont="1" applyNumberFormat="1">
      <alignment horizontal="right" shrinkToFit="0" vertical="center" wrapText="0"/>
    </xf>
    <xf borderId="9" fillId="3" fontId="10" numFmtId="3" xfId="0" applyAlignment="1" applyBorder="1" applyFont="1" applyNumberFormat="1">
      <alignment horizontal="right" shrinkToFit="0" vertical="center" wrapText="0"/>
    </xf>
    <xf borderId="9" fillId="5" fontId="10" numFmtId="167" xfId="0" applyAlignment="1" applyBorder="1" applyFont="1" applyNumberFormat="1">
      <alignment horizontal="right" shrinkToFit="0" vertical="center" wrapText="0"/>
    </xf>
    <xf borderId="5" fillId="4" fontId="14" numFmtId="0" xfId="0" applyAlignment="1" applyBorder="1" applyFont="1">
      <alignment shrinkToFit="0" vertical="bottom" wrapText="0"/>
    </xf>
    <xf borderId="8" fillId="5" fontId="7" numFmtId="0" xfId="0" applyAlignment="1" applyBorder="1" applyFont="1">
      <alignment shrinkToFit="0" vertical="bottom" wrapText="0"/>
    </xf>
    <xf borderId="10" fillId="5" fontId="3" numFmtId="0" xfId="0" applyAlignment="1" applyBorder="1" applyFont="1">
      <alignment horizontal="center" readingOrder="0" shrinkToFit="0" vertical="center" wrapText="0"/>
    </xf>
    <xf borderId="11" fillId="0" fontId="4" numFmtId="0" xfId="0" applyBorder="1" applyFont="1"/>
    <xf borderId="12" fillId="0" fontId="4" numFmtId="0" xfId="0" applyBorder="1" applyFont="1"/>
    <xf borderId="10" fillId="5" fontId="3" numFmtId="0" xfId="0" applyAlignment="1" applyBorder="1" applyFont="1">
      <alignment horizontal="center" shrinkToFit="0" vertical="center" wrapText="0"/>
    </xf>
    <xf borderId="1" fillId="5" fontId="3" numFmtId="0" xfId="0" applyAlignment="1" applyBorder="1" applyFont="1">
      <alignment horizontal="center" shrinkToFit="0" vertical="center" wrapText="0"/>
    </xf>
    <xf borderId="0" fillId="7" fontId="2" numFmtId="0" xfId="0" applyFill="1" applyFont="1"/>
    <xf borderId="9" fillId="7" fontId="7" numFmtId="0" xfId="0" applyAlignment="1" applyBorder="1" applyFont="1">
      <alignment horizontal="center" shrinkToFit="0" vertical="center" wrapText="0"/>
    </xf>
    <xf borderId="9" fillId="7" fontId="7" numFmtId="0" xfId="0" applyAlignment="1" applyBorder="1" applyFont="1">
      <alignment horizontal="center" readingOrder="0" shrinkToFit="0" vertical="center" wrapText="0"/>
    </xf>
    <xf borderId="9" fillId="5" fontId="10" numFmtId="168" xfId="0" applyAlignment="1" applyBorder="1" applyFont="1" applyNumberFormat="1">
      <alignment horizontal="right" shrinkToFit="0" vertical="center" wrapText="0"/>
    </xf>
    <xf borderId="0" fillId="3" fontId="5" numFmtId="0" xfId="0" applyAlignment="1" applyFont="1">
      <alignment shrinkToFit="0" vertical="bottom" wrapText="0"/>
    </xf>
    <xf borderId="0" fillId="5" fontId="5" numFmtId="0" xfId="0" applyAlignment="1" applyFont="1">
      <alignment readingOrder="0" shrinkToFit="0" vertical="bottom" wrapText="0"/>
    </xf>
    <xf borderId="0" fillId="3" fontId="2" numFmtId="0" xfId="0" applyAlignment="1" applyFont="1">
      <alignment readingOrder="0"/>
    </xf>
    <xf borderId="0" fillId="5" fontId="2" numFmtId="0" xfId="0" applyAlignment="1" applyFont="1">
      <alignment readingOrder="0"/>
    </xf>
    <xf borderId="0" fillId="3" fontId="2" numFmtId="164" xfId="0" applyAlignment="1" applyFont="1" applyNumberFormat="1">
      <alignment readingOrder="0"/>
    </xf>
    <xf borderId="0" fillId="3" fontId="2" numFmtId="164" xfId="0" applyFont="1" applyNumberFormat="1"/>
    <xf borderId="0" fillId="5" fontId="2" numFmtId="164" xfId="0" applyFont="1" applyNumberFormat="1"/>
    <xf borderId="0" fillId="5" fontId="2" numFmtId="10" xfId="0" applyFont="1" applyNumberFormat="1"/>
    <xf borderId="0" fillId="5" fontId="2" numFmtId="10" xfId="0" applyAlignment="1" applyFont="1" applyNumberFormat="1">
      <alignment readingOrder="0"/>
    </xf>
    <xf borderId="0" fillId="0" fontId="2" numFmtId="10" xfId="0" applyFont="1" applyNumberFormat="1"/>
    <xf borderId="0" fillId="3" fontId="2" numFmtId="10" xfId="0" applyFont="1" applyNumberFormat="1"/>
    <xf borderId="0" fillId="3" fontId="2" numFmtId="10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9" xfId="0" applyAlignment="1" applyFont="1" applyNumberFormat="1">
      <alignment readingOrder="0" shrinkToFit="0" vertical="center" wrapText="0"/>
    </xf>
    <xf borderId="0" fillId="0" fontId="2" numFmtId="9" xfId="0" applyAlignment="1" applyFont="1" applyNumberFormat="1">
      <alignment readingOrder="0" shrinkToFit="0" vertical="center" wrapText="0"/>
    </xf>
    <xf borderId="0" fillId="0" fontId="2" numFmtId="170" xfId="0" applyAlignment="1" applyFont="1" applyNumberFormat="1">
      <alignment readingOrder="0" shrinkToFit="0" vertical="center" wrapText="0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0"/>
    </xf>
    <xf borderId="0" fillId="2" fontId="15" numFmtId="0" xfId="0" applyAlignment="1" applyFont="1">
      <alignment readingOrder="0"/>
    </xf>
    <xf borderId="0" fillId="2" fontId="15" numFmtId="0" xfId="0" applyFont="1"/>
    <xf borderId="0" fillId="4" fontId="16" numFmtId="0" xfId="0" applyFont="1"/>
    <xf borderId="0" fillId="8" fontId="8" numFmtId="0" xfId="0" applyAlignment="1" applyFill="1" applyFont="1">
      <alignment readingOrder="0"/>
    </xf>
    <xf borderId="0" fillId="8" fontId="8" numFmtId="0" xfId="0" applyFont="1"/>
    <xf borderId="0" fillId="3" fontId="2" numFmtId="169" xfId="0" applyAlignment="1" applyFont="1" applyNumberFormat="1">
      <alignment readingOrder="0"/>
    </xf>
    <xf borderId="0" fillId="3" fontId="2" numFmtId="9" xfId="0" applyAlignment="1" applyFont="1" applyNumberFormat="1">
      <alignment readingOrder="0"/>
    </xf>
    <xf borderId="0" fillId="5" fontId="2" numFmtId="171" xfId="0" applyAlignment="1" applyFont="1" applyNumberFormat="1">
      <alignment readingOrder="0"/>
    </xf>
    <xf borderId="0" fillId="2" fontId="15" numFmtId="0" xfId="0" applyAlignment="1" applyFont="1">
      <alignment shrinkToFit="0" wrapText="1"/>
    </xf>
    <xf borderId="1" fillId="4" fontId="14" numFmtId="0" xfId="0" applyAlignment="1" applyBorder="1" applyFont="1">
      <alignment shrinkToFit="0" vertical="bottom" wrapText="1"/>
    </xf>
    <xf borderId="9" fillId="8" fontId="7" numFmtId="0" xfId="0" applyAlignment="1" applyBorder="1" applyFont="1">
      <alignment horizontal="center" shrinkToFit="0" vertical="center" wrapText="1"/>
    </xf>
    <xf borderId="9" fillId="8" fontId="7" numFmtId="0" xfId="0" applyAlignment="1" applyBorder="1" applyFont="1">
      <alignment horizontal="center" shrinkToFit="0" vertical="center" wrapText="0"/>
    </xf>
    <xf borderId="9" fillId="3" fontId="9" numFmtId="0" xfId="0" applyAlignment="1" applyBorder="1" applyFont="1">
      <alignment horizontal="left" shrinkToFit="0" vertical="center" wrapText="1"/>
    </xf>
    <xf borderId="9" fillId="3" fontId="17" numFmtId="4" xfId="0" applyAlignment="1" applyBorder="1" applyFont="1" applyNumberFormat="1">
      <alignment horizontal="right" shrinkToFit="0" vertical="center" wrapText="0"/>
    </xf>
    <xf borderId="9" fillId="3" fontId="9" numFmtId="0" xfId="0" applyAlignment="1" applyBorder="1" applyFont="1">
      <alignment horizontal="center" shrinkToFit="0" vertical="center" wrapText="0"/>
    </xf>
    <xf borderId="9" fillId="3" fontId="5" numFmtId="0" xfId="0" applyAlignment="1" applyBorder="1" applyFont="1">
      <alignment horizontal="left" shrinkToFit="0" vertical="center" wrapText="0"/>
    </xf>
    <xf borderId="9" fillId="5" fontId="9" numFmtId="0" xfId="0" applyAlignment="1" applyBorder="1" applyFont="1">
      <alignment horizontal="left" shrinkToFit="0" vertical="center" wrapText="1"/>
    </xf>
    <xf borderId="9" fillId="5" fontId="17" numFmtId="4" xfId="0" applyAlignment="1" applyBorder="1" applyFont="1" applyNumberFormat="1">
      <alignment horizontal="right" shrinkToFit="0" vertical="center" wrapText="0"/>
    </xf>
    <xf borderId="9" fillId="5" fontId="9" numFmtId="0" xfId="0" applyAlignment="1" applyBorder="1" applyFont="1">
      <alignment horizontal="center" shrinkToFit="0" vertical="center" wrapText="0"/>
    </xf>
    <xf borderId="9" fillId="5" fontId="5" numFmtId="0" xfId="0" applyAlignment="1" applyBorder="1" applyFont="1">
      <alignment horizontal="left" shrinkToFit="0" vertical="center" wrapText="0"/>
    </xf>
    <xf borderId="9" fillId="5" fontId="17" numFmtId="4" xfId="0" applyAlignment="1" applyBorder="1" applyFont="1" applyNumberFormat="1">
      <alignment horizontal="right" readingOrder="0" shrinkToFit="0" vertical="center" wrapText="0"/>
    </xf>
    <xf borderId="9" fillId="5" fontId="17" numFmtId="3" xfId="0" applyAlignment="1" applyBorder="1" applyFont="1" applyNumberFormat="1">
      <alignment horizontal="right" shrinkToFit="0" vertical="center" wrapText="0"/>
    </xf>
    <xf borderId="9" fillId="3" fontId="17" numFmtId="3" xfId="0" applyAlignment="1" applyBorder="1" applyFont="1" applyNumberFormat="1">
      <alignment horizontal="right" shrinkToFit="0" vertical="center" wrapText="0"/>
    </xf>
    <xf borderId="9" fillId="5" fontId="17" numFmtId="165" xfId="0" applyAlignment="1" applyBorder="1" applyFont="1" applyNumberFormat="1">
      <alignment horizontal="right" readingOrder="0" shrinkToFit="0" vertical="center" wrapText="0"/>
    </xf>
    <xf borderId="9" fillId="5" fontId="5" numFmtId="0" xfId="0" applyAlignment="1" applyBorder="1" applyFont="1">
      <alignment horizontal="left" readingOrder="0" shrinkToFit="0" vertical="center" wrapText="0"/>
    </xf>
    <xf borderId="9" fillId="3" fontId="5" numFmtId="0" xfId="0" applyAlignment="1" applyBorder="1" applyFont="1">
      <alignment horizontal="left" readingOrder="0" shrinkToFit="0" vertical="center" wrapText="0"/>
    </xf>
    <xf borderId="9" fillId="3" fontId="17" numFmtId="165" xfId="0" applyAlignment="1" applyBorder="1" applyFont="1" applyNumberFormat="1">
      <alignment horizontal="right" shrinkToFit="0" vertical="center" wrapText="0"/>
    </xf>
    <xf borderId="9" fillId="5" fontId="17" numFmtId="165" xfId="0" applyAlignment="1" applyBorder="1" applyFont="1" applyNumberFormat="1">
      <alignment horizontal="right" shrinkToFit="0" vertical="center" wrapText="0"/>
    </xf>
    <xf borderId="9" fillId="5" fontId="17" numFmtId="3" xfId="0" applyAlignment="1" applyBorder="1" applyFont="1" applyNumberFormat="1">
      <alignment horizontal="right" readingOrder="0" shrinkToFit="0" vertical="center" wrapText="0"/>
    </xf>
    <xf borderId="9" fillId="3" fontId="17" numFmtId="3" xfId="0" applyAlignment="1" applyBorder="1" applyFont="1" applyNumberFormat="1">
      <alignment horizontal="right" readingOrder="0" shrinkToFit="0" vertical="center" wrapText="0"/>
    </xf>
    <xf borderId="9" fillId="5" fontId="17" numFmtId="9" xfId="0" applyAlignment="1" applyBorder="1" applyFont="1" applyNumberFormat="1">
      <alignment horizontal="right" readingOrder="0" shrinkToFit="0" vertical="center" wrapText="0"/>
    </xf>
    <xf borderId="9" fillId="3" fontId="17" numFmtId="167" xfId="0" applyAlignment="1" applyBorder="1" applyFont="1" applyNumberFormat="1">
      <alignment horizontal="right" shrinkToFit="0" vertical="center" wrapText="0"/>
    </xf>
    <xf borderId="0" fillId="3" fontId="2" numFmtId="0" xfId="0" applyAlignment="1" applyFont="1">
      <alignment shrinkToFit="0" wrapText="1"/>
    </xf>
    <xf borderId="1" fillId="5" fontId="7" numFmtId="0" xfId="0" applyAlignment="1" applyBorder="1" applyFont="1">
      <alignment shrinkToFit="0" vertical="bottom" wrapText="1"/>
    </xf>
    <xf borderId="9" fillId="3" fontId="9" numFmtId="0" xfId="0" applyAlignment="1" applyBorder="1" applyFont="1">
      <alignment horizontal="left" readingOrder="0" shrinkToFit="0" vertical="center" wrapText="1"/>
    </xf>
    <xf borderId="9" fillId="3" fontId="17" numFmtId="4" xfId="0" applyAlignment="1" applyBorder="1" applyFont="1" applyNumberFormat="1">
      <alignment horizontal="right" readingOrder="0" shrinkToFit="0" vertical="center" wrapText="0"/>
    </xf>
    <xf borderId="9" fillId="3" fontId="17" numFmtId="164" xfId="0" applyAlignment="1" applyBorder="1" applyFont="1" applyNumberFormat="1">
      <alignment horizontal="right" shrinkToFit="0" vertical="center" wrapText="0"/>
    </xf>
    <xf borderId="9" fillId="5" fontId="17" numFmtId="0" xfId="0" applyAlignment="1" applyBorder="1" applyFont="1">
      <alignment horizontal="right" shrinkToFit="0" vertical="center" wrapText="0"/>
    </xf>
    <xf borderId="0" fillId="3" fontId="2" numFmtId="0" xfId="0" applyAlignment="1" applyFont="1">
      <alignment readingOrder="0" shrinkToFit="0" wrapText="1"/>
    </xf>
    <xf borderId="0" fillId="5" fontId="2" numFmtId="0" xfId="0" applyAlignment="1" applyFont="1">
      <alignment readingOrder="0" shrinkToFit="0" wrapText="1"/>
    </xf>
    <xf borderId="1" fillId="3" fontId="14" numFmtId="0" xfId="0" applyAlignment="1" applyBorder="1" applyFont="1">
      <alignment shrinkToFit="0" vertical="bottom" wrapText="1"/>
    </xf>
    <xf borderId="9" fillId="6" fontId="7" numFmtId="0" xfId="0" applyAlignment="1" applyBorder="1" applyFont="1">
      <alignment horizontal="center" shrinkToFit="0" vertical="center" wrapText="1"/>
    </xf>
    <xf borderId="9" fillId="6" fontId="7" numFmtId="0" xfId="0" applyAlignment="1" applyBorder="1" applyFont="1">
      <alignment horizontal="center" shrinkToFit="0" vertical="center" wrapText="0"/>
    </xf>
    <xf borderId="9" fillId="3" fontId="17" numFmtId="172" xfId="0" applyAlignment="1" applyBorder="1" applyFont="1" applyNumberFormat="1">
      <alignment horizontal="right" shrinkToFit="0" vertical="center" wrapText="0"/>
    </xf>
    <xf borderId="9" fillId="3" fontId="10" numFmtId="172" xfId="0" applyAlignment="1" applyBorder="1" applyFont="1" applyNumberFormat="1">
      <alignment horizontal="right" shrinkToFit="0" vertical="center" wrapText="0"/>
    </xf>
    <xf borderId="9" fillId="3" fontId="10" numFmtId="168" xfId="0" applyAlignment="1" applyBorder="1" applyFont="1" applyNumberFormat="1">
      <alignment horizontal="right" shrinkToFit="0" vertical="center" wrapText="0"/>
    </xf>
    <xf borderId="9" fillId="5" fontId="17" numFmtId="164" xfId="0" applyAlignment="1" applyBorder="1" applyFont="1" applyNumberFormat="1">
      <alignment horizontal="right" shrinkToFit="0" vertical="center" wrapText="0"/>
    </xf>
    <xf borderId="9" fillId="5" fontId="17" numFmtId="172" xfId="0" applyAlignment="1" applyBorder="1" applyFont="1" applyNumberFormat="1">
      <alignment horizontal="right" shrinkToFit="0" vertical="center" wrapText="0"/>
    </xf>
    <xf borderId="9" fillId="5" fontId="10" numFmtId="172" xfId="0" applyAlignment="1" applyBorder="1" applyFont="1" applyNumberFormat="1">
      <alignment horizontal="right" shrinkToFit="0" vertical="center" wrapText="0"/>
    </xf>
    <xf borderId="9" fillId="5" fontId="10" numFmtId="3" xfId="0" applyAlignment="1" applyBorder="1" applyFont="1" applyNumberFormat="1">
      <alignment horizontal="right" shrinkToFit="0" vertical="center" wrapText="0"/>
    </xf>
    <xf borderId="9" fillId="3" fontId="9" numFmtId="0" xfId="0" applyAlignment="1" applyBorder="1" applyFont="1">
      <alignment shrinkToFit="0" vertical="bottom" wrapText="0"/>
    </xf>
    <xf borderId="9" fillId="5" fontId="9" numFmtId="0" xfId="0" applyAlignment="1" applyBorder="1" applyFont="1">
      <alignment shrinkToFit="0" vertical="bottom" wrapText="0"/>
    </xf>
    <xf borderId="0" fillId="9" fontId="12" numFmtId="0" xfId="0" applyFill="1" applyFont="1"/>
    <xf borderId="9" fillId="9" fontId="11" numFmtId="0" xfId="0" applyAlignment="1" applyBorder="1" applyFont="1">
      <alignment horizontal="left" shrinkToFit="0" vertical="center" wrapText="1"/>
    </xf>
    <xf borderId="9" fillId="9" fontId="13" numFmtId="0" xfId="0" applyAlignment="1" applyBorder="1" applyFont="1">
      <alignment shrinkToFit="0" vertical="bottom" wrapText="0"/>
    </xf>
    <xf borderId="9" fillId="9" fontId="11" numFmtId="164" xfId="0" applyAlignment="1" applyBorder="1" applyFont="1" applyNumberFormat="1">
      <alignment horizontal="right" shrinkToFit="0" vertical="center" wrapText="0"/>
    </xf>
    <xf borderId="9" fillId="9" fontId="11" numFmtId="168" xfId="0" applyAlignment="1" applyBorder="1" applyFont="1" applyNumberFormat="1">
      <alignment horizontal="right" shrinkToFit="0" vertical="center" wrapText="0"/>
    </xf>
    <xf borderId="0" fillId="5" fontId="2" numFmtId="0" xfId="0" applyAlignment="1" applyFont="1">
      <alignment shrinkToFit="0" wrapText="1"/>
    </xf>
    <xf borderId="0" fillId="7" fontId="12" numFmtId="0" xfId="0" applyFont="1"/>
    <xf borderId="1" fillId="7" fontId="14" numFmtId="0" xfId="0" applyAlignment="1" applyBorder="1" applyFont="1">
      <alignment shrinkToFit="0" vertical="bottom" wrapText="1"/>
    </xf>
    <xf borderId="0" fillId="7" fontId="16" numFmtId="0" xfId="0" applyFont="1"/>
    <xf borderId="9" fillId="7" fontId="7" numFmtId="0" xfId="0" applyAlignment="1" applyBorder="1" applyFont="1">
      <alignment horizontal="center" shrinkToFit="0" vertical="center" wrapText="1"/>
    </xf>
    <xf borderId="0" fillId="7" fontId="8" numFmtId="0" xfId="0" applyFont="1"/>
    <xf borderId="9" fillId="5" fontId="9" numFmtId="0" xfId="0" applyAlignment="1" applyBorder="1" applyFont="1">
      <alignment horizontal="left" readingOrder="0" shrinkToFit="0" vertical="center" wrapText="1"/>
    </xf>
    <xf borderId="9" fillId="5" fontId="11" numFmtId="0" xfId="0" applyAlignment="1" applyBorder="1" applyFont="1">
      <alignment horizontal="left" readingOrder="0" shrinkToFit="0" vertical="center" wrapText="1"/>
    </xf>
    <xf borderId="9" fillId="3" fontId="11" numFmtId="0" xfId="0" applyAlignment="1" applyBorder="1" applyFont="1">
      <alignment horizontal="left" readingOrder="0" shrinkToFit="0" vertical="center" wrapText="1"/>
    </xf>
    <xf borderId="9" fillId="3" fontId="11" numFmtId="164" xfId="0" applyAlignment="1" applyBorder="1" applyFont="1" applyNumberFormat="1">
      <alignment horizontal="right" readingOrder="0" shrinkToFit="0" vertical="center" wrapText="0"/>
    </xf>
    <xf borderId="0" fillId="3" fontId="11" numFmtId="0" xfId="0" applyAlignment="1" applyFont="1">
      <alignment horizontal="left" shrinkToFit="0" vertical="center" wrapText="1"/>
    </xf>
    <xf borderId="0" fillId="3" fontId="11" numFmtId="164" xfId="0" applyAlignment="1" applyFont="1" applyNumberFormat="1">
      <alignment horizontal="right" shrinkToFit="0" vertical="center" wrapText="0"/>
    </xf>
    <xf borderId="0" fillId="5" fontId="5" numFmtId="0" xfId="0" applyAlignment="1" applyFont="1">
      <alignment horizontal="left" shrinkToFit="0" vertical="center" wrapText="1"/>
    </xf>
    <xf borderId="0" fillId="3" fontId="2" numFmtId="0" xfId="0" applyAlignment="1" applyFont="1">
      <alignment horizontal="center" readingOrder="0" shrinkToFit="0" vertical="center" wrapText="1"/>
    </xf>
    <xf borderId="9" fillId="5" fontId="10" numFmtId="4" xfId="0" applyAlignment="1" applyBorder="1" applyFont="1" applyNumberFormat="1">
      <alignment horizontal="right" shrinkToFit="0" vertical="center" wrapText="0"/>
    </xf>
    <xf borderId="9" fillId="3" fontId="11" numFmtId="0" xfId="0" applyAlignment="1" applyBorder="1" applyFont="1">
      <alignment horizontal="left" shrinkToFit="0" vertical="center" wrapText="1"/>
    </xf>
    <xf borderId="9" fillId="3" fontId="10" numFmtId="4" xfId="0" applyAlignment="1" applyBorder="1" applyFont="1" applyNumberFormat="1">
      <alignment horizontal="right" shrinkToFit="0" vertical="center" wrapText="0"/>
    </xf>
    <xf borderId="9" fillId="9" fontId="13" numFmtId="0" xfId="0" applyAlignment="1" applyBorder="1" applyFont="1">
      <alignment horizontal="center" shrinkToFit="0" vertical="center" wrapText="0"/>
    </xf>
    <xf borderId="0" fillId="10" fontId="2" numFmtId="0" xfId="0" applyFill="1" applyFont="1"/>
    <xf borderId="1" fillId="10" fontId="14" numFmtId="0" xfId="0" applyAlignment="1" applyBorder="1" applyFont="1">
      <alignment shrinkToFit="0" vertical="bottom" wrapText="1"/>
    </xf>
    <xf borderId="9" fillId="10" fontId="7" numFmtId="0" xfId="0" applyAlignment="1" applyBorder="1" applyFont="1">
      <alignment horizontal="center" shrinkToFit="0" vertical="center" wrapText="1"/>
    </xf>
    <xf borderId="9" fillId="10" fontId="7" numFmtId="0" xfId="0" applyAlignment="1" applyBorder="1" applyFont="1">
      <alignment horizontal="center" shrinkToFit="0" vertical="center" wrapText="0"/>
    </xf>
    <xf borderId="0" fillId="10" fontId="8" numFmtId="0" xfId="0" applyFont="1"/>
    <xf borderId="0" fillId="11" fontId="12" numFmtId="0" xfId="0" applyFill="1" applyFont="1"/>
    <xf borderId="9" fillId="11" fontId="11" numFmtId="0" xfId="0" applyAlignment="1" applyBorder="1" applyFont="1">
      <alignment horizontal="left" shrinkToFit="0" vertical="center" wrapText="1"/>
    </xf>
    <xf borderId="9" fillId="11" fontId="11" numFmtId="164" xfId="0" applyAlignment="1" applyBorder="1" applyFont="1" applyNumberFormat="1">
      <alignment horizontal="right" shrinkToFit="0" vertical="center" wrapText="0"/>
    </xf>
    <xf borderId="9" fillId="5" fontId="11" numFmtId="0" xfId="0" applyAlignment="1" applyBorder="1" applyFont="1">
      <alignment horizontal="left" shrinkToFit="0" vertical="center" wrapText="1"/>
    </xf>
    <xf borderId="0" fillId="12" fontId="2" numFmtId="0" xfId="0" applyFill="1" applyFont="1"/>
    <xf borderId="1" fillId="12" fontId="14" numFmtId="0" xfId="0" applyAlignment="1" applyBorder="1" applyFont="1">
      <alignment shrinkToFit="0" vertical="bottom" wrapText="1"/>
    </xf>
    <xf borderId="9" fillId="5" fontId="10" numFmtId="0" xfId="0" applyAlignment="1" applyBorder="1" applyFont="1">
      <alignment horizontal="center" shrinkToFit="0" vertical="center" wrapText="0"/>
    </xf>
    <xf borderId="1" fillId="7" fontId="7" numFmtId="0" xfId="0" applyAlignment="1" applyBorder="1" applyFont="1">
      <alignment shrinkToFit="0" vertical="bottom" wrapText="1"/>
    </xf>
    <xf borderId="1" fillId="5" fontId="14" numFmtId="0" xfId="0" applyAlignment="1" applyBorder="1" applyFont="1">
      <alignment shrinkToFit="0" vertical="bottom" wrapText="1"/>
    </xf>
    <xf borderId="1" fillId="10" fontId="7" numFmtId="0" xfId="0" applyAlignment="1" applyBorder="1" applyFont="1">
      <alignment shrinkToFit="0" vertical="bottom" wrapText="1"/>
    </xf>
    <xf borderId="9" fillId="11" fontId="13" numFmtId="0" xfId="0" applyAlignment="1" applyBorder="1" applyFont="1">
      <alignment horizontal="left" shrinkToFit="0" vertical="center" wrapText="1"/>
    </xf>
    <xf borderId="9" fillId="3" fontId="5" numFmtId="0" xfId="0" applyAlignment="1" applyBorder="1" applyFont="1">
      <alignment horizontal="left" shrinkToFit="0" vertical="center" wrapText="1"/>
    </xf>
    <xf borderId="9" fillId="3" fontId="5" numFmtId="0" xfId="0" applyAlignment="1" applyBorder="1" applyFont="1">
      <alignment horizontal="center" shrinkToFit="0" vertical="center" wrapText="0"/>
    </xf>
    <xf borderId="9" fillId="5" fontId="5" numFmtId="0" xfId="0" applyAlignment="1" applyBorder="1" applyFont="1">
      <alignment horizontal="left" shrinkToFit="0" vertical="center" wrapText="1"/>
    </xf>
    <xf borderId="9" fillId="5" fontId="5" numFmtId="0" xfId="0" applyAlignment="1" applyBorder="1" applyFont="1">
      <alignment horizontal="center" shrinkToFit="0" vertical="center" wrapText="0"/>
    </xf>
    <xf borderId="0" fillId="10" fontId="16" numFmtId="0" xfId="0" applyFont="1"/>
    <xf borderId="0" fillId="3" fontId="5" numFmtId="0" xfId="0" applyAlignment="1" applyFont="1">
      <alignment horizontal="left" shrinkToFit="0" vertical="center" wrapText="1"/>
    </xf>
    <xf borderId="0" fillId="5" fontId="2" numFmtId="0" xfId="0" applyAlignment="1" applyFont="1">
      <alignment horizontal="center" readingOrder="0" shrinkToFit="0" vertical="center" wrapText="1"/>
    </xf>
    <xf borderId="9" fillId="12" fontId="7" numFmtId="0" xfId="0" applyAlignment="1" applyBorder="1" applyFont="1">
      <alignment horizontal="center" shrinkToFit="0" vertical="center" wrapText="1"/>
    </xf>
    <xf borderId="9" fillId="12" fontId="7" numFmtId="0" xfId="0" applyAlignment="1" applyBorder="1" applyFont="1">
      <alignment horizontal="center" shrinkToFit="0" vertical="center" wrapText="0"/>
    </xf>
    <xf borderId="1" fillId="6" fontId="14" numFmtId="0" xfId="0" applyAlignment="1" applyBorder="1" applyFont="1">
      <alignment shrinkToFit="0" vertical="bottom" wrapText="1"/>
    </xf>
    <xf borderId="0" fillId="9" fontId="16" numFmtId="0" xfId="0" applyFont="1"/>
    <xf borderId="0" fillId="5" fontId="16" numFmtId="0" xfId="0" applyFont="1"/>
    <xf borderId="0" fillId="3" fontId="16" numFmtId="0" xfId="0" applyFont="1"/>
    <xf borderId="0" fillId="6" fontId="8" numFmtId="0" xfId="0" applyFont="1"/>
    <xf borderId="0" fillId="12" fontId="8" numFmtId="0" xfId="0" applyFont="1"/>
    <xf borderId="1" fillId="12" fontId="7" numFmtId="0" xfId="0" applyAlignment="1" applyBorder="1" applyFont="1">
      <alignment shrinkToFit="0" vertical="bottom" wrapText="1"/>
    </xf>
    <xf borderId="9" fillId="5" fontId="7" numFmtId="0" xfId="0" applyAlignment="1" applyBorder="1" applyFont="1">
      <alignment horizontal="center" shrinkToFit="0" vertical="center" wrapText="0"/>
    </xf>
    <xf borderId="9" fillId="3" fontId="10" numFmtId="0" xfId="0" applyAlignment="1" applyBorder="1" applyFont="1">
      <alignment horizontal="center" shrinkToFit="0" vertical="center" wrapText="0"/>
    </xf>
    <xf borderId="1" fillId="6" fontId="7" numFmtId="0" xfId="0" applyAlignment="1" applyBorder="1" applyFont="1">
      <alignment shrinkToFit="0" vertical="bottom" wrapText="1"/>
    </xf>
    <xf borderId="0" fillId="12" fontId="16" numFmtId="0" xfId="0" applyFont="1"/>
    <xf borderId="0" fillId="5" fontId="5" numFmtId="0" xfId="0" applyAlignment="1" applyFont="1">
      <alignment horizontal="left" shrinkToFit="0" vertical="center" wrapText="0"/>
    </xf>
    <xf borderId="9" fillId="5" fontId="17" numFmtId="0" xfId="0" applyAlignment="1" applyBorder="1" applyFont="1">
      <alignment horizontal="right" readingOrder="0" shrinkToFit="0" vertical="center" wrapText="0"/>
    </xf>
    <xf borderId="9" fillId="5" fontId="7" numFmtId="0" xfId="0" applyAlignment="1" applyBorder="1" applyFont="1">
      <alignment horizontal="center" shrinkToFit="0" vertical="center" wrapText="1"/>
    </xf>
    <xf borderId="1" fillId="9" fontId="14" numFmtId="0" xfId="0" applyAlignment="1" applyBorder="1" applyFont="1">
      <alignment shrinkToFit="0" vertical="bottom" wrapText="1"/>
    </xf>
    <xf borderId="9" fillId="5" fontId="11" numFmtId="164" xfId="0" applyAlignment="1" applyBorder="1" applyFont="1" applyNumberFormat="1">
      <alignment horizontal="right" readingOrder="0" shrinkToFit="0" vertical="center" wrapText="0"/>
    </xf>
    <xf borderId="9" fillId="3" fontId="17" numFmtId="0" xfId="0" applyAlignment="1" applyBorder="1" applyFont="1">
      <alignment horizontal="right" shrinkToFit="0" vertical="center" wrapText="0"/>
    </xf>
    <xf borderId="9" fillId="3" fontId="7" numFmtId="0" xfId="0" applyAlignment="1" applyBorder="1" applyFont="1">
      <alignment horizontal="center" shrinkToFit="0" vertical="center" wrapText="1"/>
    </xf>
    <xf borderId="9" fillId="3" fontId="7" numFmtId="0" xfId="0" applyAlignment="1" applyBorder="1" applyFont="1">
      <alignment horizontal="center" shrinkToFit="0" vertical="center" wrapText="0"/>
    </xf>
    <xf borderId="1" fillId="3" fontId="7" numFmtId="0" xfId="0" applyAlignment="1" applyBorder="1" applyFont="1">
      <alignment shrinkToFit="0" vertical="bottom" wrapText="1"/>
    </xf>
    <xf borderId="9" fillId="3" fontId="9" numFmtId="0" xfId="0" applyAlignment="1" applyBorder="1" applyFont="1">
      <alignment horizontal="center" readingOrder="0" shrinkToFit="0" vertical="center" wrapText="0"/>
    </xf>
    <xf borderId="9" fillId="5" fontId="11" numFmtId="0" xfId="0" applyAlignment="1" applyBorder="1" applyFont="1">
      <alignment horizontal="left" shrinkToFit="0" vertical="center" wrapText="0"/>
    </xf>
    <xf borderId="0" fillId="3" fontId="5" numFmtId="0" xfId="0" applyAlignment="1" applyFont="1">
      <alignment horizontal="left" shrinkToFit="0" vertical="center" wrapText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CDD9D4"/>
          <bgColor rgb="FFCDD9D4"/>
        </patternFill>
      </fill>
      <border/>
    </dxf>
    <dxf>
      <font>
        <color rgb="FF006100"/>
        <name val="Calibri"/>
      </font>
      <fill>
        <patternFill patternType="solid">
          <fgColor rgb="FFC6EFCE"/>
          <bgColor rgb="FFC6EFCE"/>
        </patternFill>
      </fill>
      <border/>
    </dxf>
    <dxf>
      <font>
        <color rgb="FF9C0006"/>
        <name val="Calibri"/>
      </font>
      <fill>
        <patternFill patternType="solid">
          <fgColor rgb="FFFFC7CE"/>
          <bgColor rgb="FFFFC7CE"/>
        </patternFill>
      </fill>
      <border/>
    </dxf>
    <dxf>
      <font>
        <color rgb="FF9C6500"/>
        <name val="Calibri"/>
      </font>
      <fill>
        <patternFill patternType="solid">
          <fgColor rgb="FFFFEB9C"/>
          <bgColor rgb="FFFFEB9C"/>
        </patternFill>
      </fill>
      <border/>
    </dxf>
  </dxfs>
  <tableStyles count="8">
    <tableStyle count="4" pivot="0" name="Matriz_Compradores&#10;&#10;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triz_Compradores&#10;&#10;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triz_Compradores&#10;&#10;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triz_Compradores&#10;&#10;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mensionamiento_sistem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mensionamiento_sistema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Dimensionamiento_sistema-style 3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5" pivot="0" name="Dimensionamiento_sistema-style 4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odelo Financiero" id="{ea6b5c37-a2fc-44f9-8ee2-4f20a6bf3445}" providerId="google-sheets"/>
</x18tc:personList>
</file>

<file path=xl/tables/table1.xml><?xml version="1.0" encoding="utf-8"?>
<table xmlns="http://schemas.openxmlformats.org/spreadsheetml/2006/main" ref="A5:E10" displayName="Tabla_5" name="Tabla_5" id="1">
  <tableColumns count="5">
    <tableColumn name="Material" id="1"/>
    <tableColumn name="Precio_MXN_kg" id="2"/>
    <tableColumn name="Fuente" id="3"/>
    <tableColumn name="Fecha_referencia" id="4"/>
    <tableColumn name="Notas" id="5"/>
  </tableColumns>
  <tableStyleInfo name="Matriz_Compradores&#10;&#10;-style" showColumnStripes="0" showFirstColumn="1" showLastColumn="1" showRowStripes="1"/>
</table>
</file>

<file path=xl/tables/table2.xml><?xml version="1.0" encoding="utf-8"?>
<table xmlns="http://schemas.openxmlformats.org/spreadsheetml/2006/main" ref="A14:F19" displayName="Tabla_6" name="Tabla_6" id="2">
  <tableColumns count="6">
    <tableColumn name="Comprador" id="1"/>
    <tableColumn name="Giro" id="2"/>
    <tableColumn name="Material_principal" id="3"/>
    <tableColumn name="Capacidad_t_mes" id="4"/>
    <tableColumn name="Precio_oferta_MXN_kg" id="5"/>
    <tableColumn name="Contacto_referencia" id="6"/>
  </tableColumns>
  <tableStyleInfo name="Matriz_Compradores&#10;&#10;-style 2" showColumnStripes="0" showFirstColumn="1" showLastColumn="1" showRowStripes="1"/>
</table>
</file>

<file path=xl/tables/table3.xml><?xml version="1.0" encoding="utf-8"?>
<table xmlns="http://schemas.openxmlformats.org/spreadsheetml/2006/main" ref="A23:H26" displayName="Tabla_7" name="Tabla_7" id="3">
  <tableColumns count="8">
    <tableColumn name="Fase" id="1"/>
    <tableColumn name="Cobertura_viviendas_%" id="2"/>
    <tableColumn name="RSU_t_dia" id="3"/>
    <tableColumn name="PET_t_dia" id="4"/>
    <tableColumn name="Papel_t_dia" id="5"/>
    <tableColumn name="Vidrio_t_dia" id="6"/>
    <tableColumn name="Aluminio_t_dia" id="7"/>
    <tableColumn name="Organicos_t_dia" id="8"/>
  </tableColumns>
  <tableStyleInfo name="Matriz_Compradores&#10;&#10;-style 3" showColumnStripes="0" showFirstColumn="1" showLastColumn="1" showRowStripes="1"/>
</table>
</file>

<file path=xl/tables/table4.xml><?xml version="1.0" encoding="utf-8"?>
<table xmlns="http://schemas.openxmlformats.org/spreadsheetml/2006/main" ref="A30:C37" displayName="Tabla_8" name="Tabla_8" id="4">
  <tableColumns count="3">
    <tableColumn name="Hallazgo" id="1"/>
    <tableColumn name="Detalle" id="2"/>
    <tableColumn name="Estatus" id="3"/>
  </tableColumns>
  <tableStyleInfo name="Matriz_Compradores&#10;&#10;-style 4" showColumnStripes="0" showFirstColumn="1" showLastColumn="1" showRowStripes="1"/>
</table>
</file>

<file path=xl/tables/table5.xml><?xml version="1.0" encoding="utf-8"?>
<table xmlns="http://schemas.openxmlformats.org/spreadsheetml/2006/main" ref="A3:H11" displayName="Tabla_1" name="Tabla_1" id="5">
  <tableColumns count="8">
    <tableColumn name="Fraccion" id="1"/>
    <tableColumn name="% Flujo" id="2"/>
    <tableColumn name="t/dia bruto" id="3"/>
    <tableColumn name="t/dia neto (post 10%)" id="4"/>
    <tableColumn name="t/ano neto" id="5"/>
    <tableColumn name="Demanda existente t/ano" id="6"/>
    <tableColumn name="GAP t/ano" id="7"/>
    <tableColumn name="Nuevas recicladoras necesarias" id="8"/>
  </tableColumns>
  <tableStyleInfo name="Dimensionamiento_sistema-style" showColumnStripes="0" showFirstColumn="1" showLastColumn="1" showRowStripes="1"/>
</table>
</file>

<file path=xl/tables/table6.xml><?xml version="1.0" encoding="utf-8"?>
<table xmlns="http://schemas.openxmlformats.org/spreadsheetml/2006/main" ref="A15:K22" displayName="Tabla_2" name="Tabla_2" id="6">
  <tableColumns count="11">
    <tableColumn name="Fraccion" id="1"/>
    <tableColumn name="FASE A (25%) t/ano capturado" id="2"/>
    <tableColumn name="Demanda existente" id="3"/>
    <tableColumn name="GAP A" id="4"/>
    <tableColumn name="Recicladoras nuevas A" id="5"/>
    <tableColumn name="FASE B (60%) t/ano capturado" id="6"/>
    <tableColumn name="GAP B" id="7"/>
    <tableColumn name="Recicladoras nuevas B" id="8"/>
    <tableColumn name="FASE C (100%) t/ano capturado" id="9"/>
    <tableColumn name="GAP C" id="10"/>
    <tableColumn name="Recicladoras nuevas C" id="11"/>
  </tableColumns>
  <tableStyleInfo name="Dimensionamiento_sistema-style 2" showColumnStripes="0" showFirstColumn="1" showLastColumn="1" showRowStripes="1"/>
</table>
</file>

<file path=xl/tables/table7.xml><?xml version="1.0" encoding="utf-8"?>
<table xmlns="http://schemas.openxmlformats.org/spreadsheetml/2006/main" totalsRowCount="1" ref="A27:F33" displayName="Tabla_3" name="Tabla_3" id="7">
  <tableColumns count="6">
    <tableColumn totalsRowLabel="TOTAL" name="Fracción" id="1"/>
    <tableColumn name="CAPEX unitario" id="2"/>
    <tableColumn totalsRowFunction="custom" name="Recicladoras Fase A" id="3"/>
    <tableColumn totalsRowFunction="custom" name="CAPEX Fase A" id="4"/>
    <tableColumn totalsRowFunction="custom" name="Recicladoras Fase C" id="5"/>
    <tableColumn totalsRowFunction="custom" name="CAPEX Fase C" id="6"/>
  </tableColumns>
  <tableStyleInfo name="Dimensionamiento_sistema-style 3" showColumnStripes="0" showFirstColumn="1" showLastColumn="1" showRowStripes="1"/>
</table>
</file>

<file path=xl/tables/table8.xml><?xml version="1.0" encoding="utf-8"?>
<table xmlns="http://schemas.openxmlformats.org/spreadsheetml/2006/main" totalsRowCount="1" ref="A38:F44" displayName="Tabla_4" name="Tabla_4" id="8">
  <tableColumns count="6">
    <tableColumn totalsRowLabel="TOTAL" name="Giro" id="1"/>
    <tableColumn name="Empleos por planta" id="2"/>
    <tableColumn totalsRowFunction="custom" name="Plantas Fase A" id="3"/>
    <tableColumn totalsRowFunction="custom" name="Empleos Fase A" id="4"/>
    <tableColumn totalsRowFunction="custom" name="Plantas Fase C" id="5"/>
    <tableColumn totalsRowFunction="custom" name="Empleos Fase C" id="6"/>
  </tableColumns>
  <tableStyleInfo name="Dimensionamiento_sistema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84" dT="2026-04-03T22:24:06.00" personId="{ea6b5c37-a2fc-44f9-8ee2-4f20a6bf3445}" id="{2e31dde8-dfe7-464a-bbce-34cc5e4cc668}" done="0">
    <x18tc:text xml:space="preserve">80% procesado = escenario fondos de impacto</x18tc:text>
  </x18tc:threadedComment>
  <x18tc:threadedComment ref="E84" dT="2026-04-03T22:24:06.00" personId="{ea6b5c37-a2fc-44f9-8ee2-4f20a6bf3445}" id="{42cf0550-5b30-48ad-b074-d45cd7c4248b}" done="0">
    <x18tc:text xml:space="preserve">40% procesado = escenario concesionario/franquiciatario</x18tc:text>
  </x18tc:threadedComment>
  <x18tc:threadedComment ref="D84" dT="2026-04-03T22:24:06.00" personId="{ea6b5c37-a2fc-44f9-8ee2-4f20a6bf3445}" id="{8788653d-28e6-4370-bd0e-bb203ac47b54}" done="0">
    <x18tc:text xml:space="preserve">30% procesado = escenario municipio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N52" dT="2026-04-03T22:24:06.00" personId="{ea6b5c37-a2fc-44f9-8ee2-4f20a6bf3445}" id="{6138ddf1-5c9a-498d-940f-3c6420b66238}" done="0">
    <x18tc:text xml:space="preserve">Gas LP: 2.5 kg/hora × horas × días × $18.5/kg</x18tc:text>
  </x18tc:threadedComment>
  <x18tc:threadedComment ref="E83" dT="2026-04-03T22:24:06.00" personId="{ea6b5c37-a2fc-44f9-8ee2-4f20a6bf3445}" id="{8234a805-a19f-4c03-906b-a5e32c35f68c}" done="0">
    <x18tc:text xml:space="preserve">40% procesado = escenario concesionario/franquiciatario</x18tc:text>
  </x18tc:threadedComment>
  <x18tc:threadedComment ref="D83" dT="2026-04-03T22:24:06.00" personId="{ea6b5c37-a2fc-44f9-8ee2-4f20a6bf3445}" id="{15c92797-e606-401b-9092-2f4a20d42daf}" done="0">
    <x18tc:text xml:space="preserve">30% procesado = escenario municipio</x18tc:text>
  </x18tc:threadedComment>
  <x18tc:threadedComment ref="F83" dT="2026-04-03T22:24:06.00" personId="{ea6b5c37-a2fc-44f9-8ee2-4f20a6bf3445}" id="{352448d9-6da7-4b90-8d07-2108de19f0c5}" done="0">
    <x18tc:text xml:space="preserve">80% procesado = escenario fondos de impacto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84" dT="2026-04-03T22:24:06.00" personId="{ea6b5c37-a2fc-44f9-8ee2-4f20a6bf3445}" id="{29e960e4-08e4-444c-8255-0a7a060668d0}" done="0">
    <x18tc:text xml:space="preserve">30% procesado = escenario municipio</x18tc:text>
  </x18tc:threadedComment>
  <x18tc:threadedComment ref="N48" dT="2026-04-03T22:24:06.00" personId="{ea6b5c37-a2fc-44f9-8ee2-4f20a6bf3445}" id="{4d4fdff3-aa4f-4bfb-818b-975bbd18d7fe}" done="0">
    <x18tc:text xml:space="preserve">Gas LP: 18 kg/hora × horas × días × $18.5/kg</x18tc:text>
  </x18tc:threadedComment>
  <x18tc:threadedComment ref="F84" dT="2026-04-03T22:24:06.00" personId="{ea6b5c37-a2fc-44f9-8ee2-4f20a6bf3445}" id="{9b01b0b8-afbc-4b22-bbcc-cfec0dbd1af7}" done="0">
    <x18tc:text xml:space="preserve">80% procesado = escenario fondos de impacto</x18tc:text>
  </x18tc:threadedComment>
  <x18tc:threadedComment ref="E84" dT="2026-04-03T22:24:06.00" personId="{ea6b5c37-a2fc-44f9-8ee2-4f20a6bf3445}" id="{908242df-1e90-4db2-b8b3-a50218f48f56}" done="0">
    <x18tc:text xml:space="preserve">40% procesado = escenario concesionario/franquiciatario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83" dT="2026-04-03T22:24:06.00" personId="{ea6b5c37-a2fc-44f9-8ee2-4f20a6bf3445}" id="{8771ab40-ede6-4af7-be21-defdda495e9e}" done="0">
    <x18tc:text xml:space="preserve">40% procesado = escenario concesionario/franquiciatario</x18tc:text>
  </x18tc:threadedComment>
  <x18tc:threadedComment ref="D83" dT="2026-04-03T22:24:06.00" personId="{ea6b5c37-a2fc-44f9-8ee2-4f20a6bf3445}" id="{3b730924-602a-4dc8-a9a3-5c37048b8b09}" done="0">
    <x18tc:text xml:space="preserve">30% procesado = escenario municipio</x18tc:text>
  </x18tc:threadedComment>
  <x18tc:threadedComment ref="F83" dT="2026-04-03T22:24:06.00" personId="{ea6b5c37-a2fc-44f9-8ee2-4f20a6bf3445}" id="{31fa3473-3d3f-4f25-801e-1366b7374500}" done="0">
    <x18tc:text xml:space="preserve">80% procesado = escenario fondos de impacto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88" dT="2026-04-03T22:24:06.00" personId="{ea6b5c37-a2fc-44f9-8ee2-4f20a6bf3445}" id="{2271343b-469f-409b-97b9-2cca225b5026}" done="0">
    <x18tc:text xml:space="preserve">40% procesado = escenario concesionario/franquiciatario</x18tc:text>
  </x18tc:threadedComment>
  <x18tc:threadedComment ref="F88" dT="2026-04-03T22:24:06.00" personId="{ea6b5c37-a2fc-44f9-8ee2-4f20a6bf3445}" id="{e35b0910-2956-498d-b675-30afdcc028bb}" done="0">
    <x18tc:text xml:space="preserve">80% procesado = escenario fondos de impacto</x18tc:text>
  </x18tc:threadedComment>
  <x18tc:threadedComment ref="D88" dT="2026-04-03T22:24:06.00" personId="{ea6b5c37-a2fc-44f9-8ee2-4f20a6bf3445}" id="{09f28719-a25f-493c-a10b-2dc9dc731c4a}" done="0">
    <x18tc:text xml:space="preserve">30% procesado = escenario municipio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9" Type="http://schemas.openxmlformats.org/officeDocument/2006/relationships/table" Target="../tables/table8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7.xml"/><Relationship Id="rId5" Type="http://schemas.openxmlformats.org/officeDocument/2006/relationships/vmlDrawing" Target="../drawings/vmlDrawing3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4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9.xml"/><Relationship Id="rId5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.29"/>
    <col customWidth="1" min="2" max="2" width="31.57"/>
    <col customWidth="1" min="3" max="7" width="18.0"/>
    <col customWidth="1" min="8" max="17" width="16.0"/>
    <col customWidth="1" min="18" max="26" width="8.71"/>
  </cols>
  <sheetData>
    <row r="1" ht="26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2"/>
      <c r="B2" s="3" t="s">
        <v>0</v>
      </c>
      <c r="C2" s="4"/>
      <c r="D2" s="4"/>
      <c r="E2" s="4"/>
      <c r="F2" s="4"/>
      <c r="G2" s="5"/>
      <c r="H2" s="6"/>
      <c r="I2" s="6"/>
      <c r="J2" s="6"/>
      <c r="K2" s="6"/>
      <c r="L2" s="6"/>
      <c r="M2" s="2"/>
      <c r="N2" s="2"/>
      <c r="O2" s="2"/>
      <c r="P2" s="2"/>
      <c r="Q2" s="2"/>
    </row>
    <row r="3">
      <c r="A3" s="7"/>
      <c r="B3" s="8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</row>
    <row r="4">
      <c r="A4" s="9"/>
      <c r="B4" s="10"/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7"/>
      <c r="B5" s="12" t="s">
        <v>7</v>
      </c>
      <c r="C5" s="13"/>
      <c r="D5" s="13"/>
      <c r="E5" s="13"/>
      <c r="F5" s="13"/>
      <c r="G5" s="13"/>
      <c r="H5" s="14"/>
      <c r="I5" s="14"/>
      <c r="J5" s="14"/>
      <c r="K5" s="15"/>
      <c r="L5" s="16"/>
      <c r="M5" s="7"/>
      <c r="N5" s="7"/>
      <c r="O5" s="7"/>
      <c r="P5" s="7"/>
      <c r="Q5" s="7"/>
    </row>
    <row r="6">
      <c r="A6" s="2"/>
      <c r="B6" s="17" t="s">
        <v>8</v>
      </c>
      <c r="C6" s="18">
        <f>PET!C64</f>
        <v>3840994.822</v>
      </c>
      <c r="D6" s="18">
        <f>'Papel-Carton'!C63</f>
        <v>3396733.807</v>
      </c>
      <c r="E6" s="18">
        <f>Aluminio!C64</f>
        <v>3865004.527</v>
      </c>
      <c r="F6" s="18">
        <f>Vidrio!C64</f>
        <v>1872563.937</v>
      </c>
      <c r="G6" s="18">
        <f>'Organicos-Composta'!C69</f>
        <v>3204959.176</v>
      </c>
      <c r="H6" s="2"/>
      <c r="I6" s="2"/>
      <c r="J6" s="2"/>
      <c r="K6" s="2"/>
      <c r="L6" s="2"/>
      <c r="M6" s="2"/>
      <c r="N6" s="2"/>
      <c r="O6" s="2"/>
      <c r="P6" s="2"/>
      <c r="Q6" s="2"/>
    </row>
    <row r="7">
      <c r="A7" s="7"/>
      <c r="B7" s="19" t="s">
        <v>9</v>
      </c>
      <c r="C7" s="20">
        <f>PET!C63</f>
        <v>1514994.822</v>
      </c>
      <c r="D7" s="20">
        <f>'Papel-Carton'!C62</f>
        <v>1517733.807</v>
      </c>
      <c r="E7" s="20">
        <f>Aluminio!C63</f>
        <v>1711204.527</v>
      </c>
      <c r="F7" s="20">
        <f>Vidrio!C63</f>
        <v>562563.937</v>
      </c>
      <c r="G7" s="20">
        <f>'Organicos-Composta'!C68</f>
        <v>991159.176</v>
      </c>
      <c r="H7" s="7"/>
      <c r="I7" s="7"/>
      <c r="J7" s="7"/>
      <c r="K7" s="7"/>
      <c r="L7" s="7"/>
      <c r="M7" s="7"/>
      <c r="N7" s="7"/>
      <c r="O7" s="7"/>
      <c r="P7" s="7"/>
      <c r="Q7" s="7"/>
    </row>
    <row r="8">
      <c r="A8" s="2"/>
      <c r="B8" s="21" t="s">
        <v>10</v>
      </c>
      <c r="C8" s="22">
        <f>PET!C64</f>
        <v>3840994.822</v>
      </c>
      <c r="D8" s="22">
        <f>'Papel-Carton'!C63</f>
        <v>3396733.807</v>
      </c>
      <c r="E8" s="22">
        <f>Aluminio!C64</f>
        <v>3865004.527</v>
      </c>
      <c r="F8" s="22">
        <f>Vidrio!C64</f>
        <v>1872563.937</v>
      </c>
      <c r="G8" s="22">
        <f>'Organicos-Composta'!C69</f>
        <v>3204959.176</v>
      </c>
      <c r="H8" s="23"/>
      <c r="I8" s="23"/>
      <c r="J8" s="23"/>
      <c r="K8" s="23"/>
      <c r="L8" s="23"/>
      <c r="M8" s="2"/>
      <c r="N8" s="2"/>
      <c r="O8" s="2"/>
      <c r="P8" s="2"/>
      <c r="Q8" s="2"/>
    </row>
    <row r="9">
      <c r="A9" s="7"/>
      <c r="B9" s="19" t="s">
        <v>11</v>
      </c>
      <c r="C9" s="24">
        <f>PET!C29</f>
        <v>0.6</v>
      </c>
      <c r="D9" s="24">
        <f>'Papel-Carton'!C29</f>
        <v>0.6</v>
      </c>
      <c r="E9" s="24">
        <f>Aluminio!C29</f>
        <v>0.6</v>
      </c>
      <c r="F9" s="24">
        <f>Vidrio!C29</f>
        <v>0.6</v>
      </c>
      <c r="G9" s="24">
        <f>'Organicos-Composta'!C29</f>
        <v>0.6</v>
      </c>
      <c r="H9" s="7"/>
      <c r="I9" s="7"/>
      <c r="J9" s="7"/>
      <c r="K9" s="7"/>
      <c r="L9" s="7"/>
      <c r="M9" s="7"/>
      <c r="N9" s="7"/>
      <c r="O9" s="7"/>
      <c r="P9" s="7"/>
      <c r="Q9" s="7"/>
    </row>
    <row r="10">
      <c r="A10" s="2"/>
      <c r="B10" s="25" t="s">
        <v>12</v>
      </c>
      <c r="C10" s="26">
        <f>PET!C288</f>
        <v>1536397.929</v>
      </c>
      <c r="D10" s="26">
        <f>'Papel-Carton'!C295</f>
        <v>1358693.523</v>
      </c>
      <c r="E10" s="26">
        <f>Aluminio!C288</f>
        <v>1546001.811</v>
      </c>
      <c r="F10" s="26">
        <f>Vidrio!C287</f>
        <v>749025.5748</v>
      </c>
      <c r="G10" s="26">
        <f>'Organicos-Composta'!C296</f>
        <v>1281983.67</v>
      </c>
      <c r="H10" s="2"/>
      <c r="I10" s="2"/>
      <c r="J10" s="2"/>
      <c r="K10" s="2"/>
      <c r="L10" s="2"/>
      <c r="M10" s="2"/>
      <c r="N10" s="2"/>
      <c r="O10" s="2"/>
      <c r="P10" s="2"/>
      <c r="Q10" s="2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</row>
    <row r="12">
      <c r="A12" s="2"/>
      <c r="B12" s="27" t="s">
        <v>13</v>
      </c>
      <c r="C12" s="13"/>
      <c r="D12" s="13"/>
      <c r="E12" s="13"/>
      <c r="F12" s="13"/>
      <c r="G12" s="13"/>
      <c r="H12" s="28"/>
      <c r="I12" s="28"/>
      <c r="J12" s="28"/>
      <c r="K12" s="29"/>
      <c r="L12" s="30"/>
      <c r="M12" s="2"/>
      <c r="N12" s="2"/>
      <c r="O12" s="2"/>
      <c r="P12" s="2"/>
      <c r="Q12" s="2"/>
    </row>
    <row r="13">
      <c r="A13" s="7"/>
      <c r="B13" s="31" t="s">
        <v>14</v>
      </c>
      <c r="C13" s="32">
        <f>PET!D286</f>
        <v>2140810.56</v>
      </c>
      <c r="D13" s="32">
        <f>'Papel-Carton'!D293</f>
        <v>2037934.08</v>
      </c>
      <c r="E13" s="32">
        <f>Aluminio!D286</f>
        <v>2401137.043</v>
      </c>
      <c r="F13" s="32">
        <f>Vidrio!D285</f>
        <v>475099.9142</v>
      </c>
      <c r="G13" s="32">
        <f>'Organicos-Composta'!D294</f>
        <v>274975.2</v>
      </c>
      <c r="H13" s="7"/>
      <c r="I13" s="7"/>
      <c r="J13" s="7"/>
      <c r="K13" s="7"/>
      <c r="L13" s="7"/>
      <c r="M13" s="7"/>
      <c r="N13" s="7"/>
      <c r="O13" s="7"/>
      <c r="P13" s="7"/>
      <c r="Q13" s="7"/>
    </row>
    <row r="14">
      <c r="A14" s="2"/>
      <c r="B14" s="25" t="s">
        <v>15</v>
      </c>
      <c r="C14" s="26">
        <f>PET!D287</f>
        <v>4281621.12</v>
      </c>
      <c r="D14" s="26">
        <f>'Papel-Carton'!D294</f>
        <v>4075868.16</v>
      </c>
      <c r="E14" s="26">
        <f>Aluminio!D287</f>
        <v>4802274.086</v>
      </c>
      <c r="F14" s="26">
        <f>Vidrio!D286</f>
        <v>950199.8285</v>
      </c>
      <c r="G14" s="26">
        <f>'Organicos-Composta'!D295</f>
        <v>549950.4</v>
      </c>
      <c r="H14" s="2"/>
      <c r="I14" s="2"/>
      <c r="J14" s="2"/>
      <c r="K14" s="2"/>
      <c r="L14" s="2"/>
      <c r="M14" s="2"/>
      <c r="N14" s="2"/>
      <c r="O14" s="2"/>
      <c r="P14" s="2"/>
      <c r="Q14" s="2"/>
    </row>
    <row r="15">
      <c r="A15" s="7"/>
      <c r="B15" s="33" t="s">
        <v>16</v>
      </c>
      <c r="C15" s="34">
        <f>PET!D280</f>
        <v>9956876.509</v>
      </c>
      <c r="D15" s="34">
        <f>'Papel-Carton'!D287</f>
        <v>612975.0784</v>
      </c>
      <c r="E15" s="34">
        <f>Aluminio!D280</f>
        <v>10077625.52</v>
      </c>
      <c r="F15" s="34">
        <f>Vidrio!D279</f>
        <v>-1770745.68</v>
      </c>
      <c r="G15" s="34">
        <f>'Organicos-Composta'!D288</f>
        <v>1070928.096</v>
      </c>
      <c r="H15" s="35"/>
      <c r="I15" s="35"/>
      <c r="J15" s="35"/>
      <c r="K15" s="35"/>
      <c r="L15" s="35"/>
      <c r="M15" s="7"/>
      <c r="N15" s="7"/>
      <c r="O15" s="7"/>
      <c r="P15" s="7"/>
      <c r="Q15" s="7"/>
    </row>
    <row r="16">
      <c r="A16" s="2"/>
      <c r="B16" s="25" t="s">
        <v>17</v>
      </c>
      <c r="C16" s="36">
        <f>PET!D281</f>
        <v>0.1937910165</v>
      </c>
      <c r="D16" s="36">
        <f>'Papel-Carton'!D288</f>
        <v>0.01253260766</v>
      </c>
      <c r="E16" s="36">
        <f>Aluminio!D281</f>
        <v>0.1748759258</v>
      </c>
      <c r="F16" s="36">
        <f>Vidrio!D280</f>
        <v>-0.1552959026</v>
      </c>
      <c r="G16" s="36">
        <f>'Organicos-Composta'!D289</f>
        <v>0.1622764671</v>
      </c>
      <c r="H16" s="2"/>
      <c r="I16" s="2"/>
      <c r="J16" s="2"/>
      <c r="K16" s="2"/>
      <c r="L16" s="2"/>
      <c r="M16" s="2"/>
      <c r="N16" s="2"/>
      <c r="O16" s="2"/>
      <c r="P16" s="2"/>
      <c r="Q16" s="2"/>
    </row>
    <row r="17">
      <c r="A17" s="7"/>
      <c r="B17" s="33" t="s">
        <v>18</v>
      </c>
      <c r="C17" s="34">
        <f>PET!D274</f>
        <v>28539880.15</v>
      </c>
      <c r="D17" s="34">
        <f>'Papel-Carton'!D281</f>
        <v>-4449205.328</v>
      </c>
      <c r="E17" s="34">
        <f>Aluminio!D274</f>
        <v>28742303.27</v>
      </c>
      <c r="F17" s="34">
        <f>Vidrio!D273</f>
        <v>-9774471.264</v>
      </c>
      <c r="G17" s="34">
        <f>'Organicos-Composta'!D282</f>
        <v>-1982824.762</v>
      </c>
      <c r="H17" s="35"/>
      <c r="I17" s="35"/>
      <c r="J17" s="35"/>
      <c r="K17" s="35"/>
      <c r="L17" s="35"/>
      <c r="M17" s="7"/>
      <c r="N17" s="7"/>
      <c r="O17" s="7"/>
      <c r="P17" s="7"/>
      <c r="Q17" s="7"/>
    </row>
    <row r="18">
      <c r="A18" s="2"/>
      <c r="B18" s="37" t="s">
        <v>19</v>
      </c>
      <c r="C18" s="38">
        <f>PET!D275</f>
        <v>1.128850223</v>
      </c>
      <c r="D18" s="38">
        <f>'Papel-Carton'!D282</f>
        <v>-0.0679918039</v>
      </c>
      <c r="E18" s="38">
        <f>Aluminio!D275</f>
        <v>1.103242758</v>
      </c>
      <c r="F18" s="38" t="str">
        <f>Vidrio!D274</f>
        <v>-</v>
      </c>
      <c r="G18" s="38">
        <f>'Organicos-Composta'!D283</f>
        <v>0.08151614015</v>
      </c>
      <c r="H18" s="23"/>
      <c r="I18" s="23"/>
      <c r="J18" s="23"/>
      <c r="K18" s="23"/>
      <c r="L18" s="23"/>
      <c r="M18" s="2"/>
      <c r="N18" s="2"/>
      <c r="O18" s="2"/>
      <c r="P18" s="2"/>
      <c r="Q18" s="2"/>
    </row>
    <row r="19">
      <c r="A19" s="7"/>
      <c r="B19" s="33" t="s">
        <v>20</v>
      </c>
      <c r="C19" s="39">
        <f>PET!D276</f>
        <v>1.128850223</v>
      </c>
      <c r="D19" s="39">
        <f>'Papel-Carton'!D283</f>
        <v>-0.0679918039</v>
      </c>
      <c r="E19" s="39">
        <f>Aluminio!D276</f>
        <v>1.103242758</v>
      </c>
      <c r="F19" s="39" t="str">
        <f>Vidrio!D275</f>
        <v>-</v>
      </c>
      <c r="G19" s="39">
        <f>'Organicos-Composta'!D284</f>
        <v>0.08151614015</v>
      </c>
      <c r="H19" s="35"/>
      <c r="I19" s="35"/>
      <c r="J19" s="35"/>
      <c r="K19" s="35"/>
      <c r="L19" s="35"/>
      <c r="M19" s="7"/>
      <c r="N19" s="7"/>
      <c r="O19" s="7"/>
      <c r="P19" s="7"/>
      <c r="Q19" s="7"/>
    </row>
    <row r="20">
      <c r="A20" s="2"/>
      <c r="B20" s="25" t="s">
        <v>21</v>
      </c>
      <c r="C20" s="40">
        <f>PET!D277</f>
        <v>15.00551054</v>
      </c>
      <c r="D20" s="40">
        <f>'Papel-Carton'!D284</f>
        <v>999</v>
      </c>
      <c r="E20" s="40">
        <f>Aluminio!D277</f>
        <v>15.4207653</v>
      </c>
      <c r="F20" s="40">
        <f>Vidrio!D276</f>
        <v>999</v>
      </c>
      <c r="G20" s="40">
        <f>'Organicos-Composta'!D285</f>
        <v>999</v>
      </c>
      <c r="H20" s="2"/>
      <c r="I20" s="2"/>
      <c r="J20" s="2"/>
      <c r="K20" s="2"/>
      <c r="L20" s="2"/>
      <c r="M20" s="2"/>
      <c r="N20" s="2"/>
      <c r="O20" s="2"/>
      <c r="P20" s="2"/>
      <c r="Q20" s="2"/>
    </row>
    <row r="21">
      <c r="A21" s="7"/>
      <c r="B21" s="19" t="s">
        <v>22</v>
      </c>
      <c r="C21" s="41">
        <f>PET!D278</f>
        <v>17.25633712</v>
      </c>
      <c r="D21" s="41">
        <f>'Papel-Carton'!D285</f>
        <v>1148.85</v>
      </c>
      <c r="E21" s="41">
        <f>Aluminio!D278</f>
        <v>17.73388009</v>
      </c>
      <c r="F21" s="41">
        <f>Vidrio!D277</f>
        <v>1148.85</v>
      </c>
      <c r="G21" s="41">
        <f>'Organicos-Composta'!D286</f>
        <v>1148.85</v>
      </c>
      <c r="H21" s="7"/>
      <c r="I21" s="7"/>
      <c r="J21" s="7"/>
      <c r="K21" s="7"/>
      <c r="L21" s="7"/>
      <c r="M21" s="7"/>
      <c r="N21" s="7"/>
      <c r="O21" s="7"/>
      <c r="P21" s="7"/>
      <c r="Q21" s="7"/>
    </row>
    <row r="22">
      <c r="A22" s="2"/>
      <c r="B22" s="25" t="s">
        <v>23</v>
      </c>
      <c r="C22" s="42">
        <f>PET!D279</f>
        <v>16.56231522</v>
      </c>
      <c r="D22" s="42">
        <f>'Papel-Carton'!D286</f>
        <v>0.5430914122</v>
      </c>
      <c r="E22" s="42">
        <f>Aluminio!D279</f>
        <v>16.10472342</v>
      </c>
      <c r="F22" s="42">
        <f>Vidrio!D278</f>
        <v>-7.405692314</v>
      </c>
      <c r="G22" s="42">
        <f>'Organicos-Composta'!D287</f>
        <v>1.685963756</v>
      </c>
      <c r="H22" s="2"/>
      <c r="I22" s="2"/>
      <c r="J22" s="2"/>
      <c r="K22" s="2"/>
      <c r="L22" s="2"/>
      <c r="M22" s="2"/>
      <c r="N22" s="2"/>
      <c r="O22" s="2"/>
      <c r="P22" s="2"/>
      <c r="Q22" s="2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</row>
    <row r="24">
      <c r="A24" s="2"/>
      <c r="B24" s="27" t="s">
        <v>24</v>
      </c>
      <c r="C24" s="13"/>
      <c r="D24" s="13"/>
      <c r="E24" s="13"/>
      <c r="F24" s="13"/>
      <c r="G24" s="13"/>
      <c r="H24" s="28"/>
      <c r="I24" s="28"/>
      <c r="J24" s="28"/>
      <c r="K24" s="29"/>
      <c r="L24" s="30"/>
      <c r="M24" s="2"/>
      <c r="N24" s="2"/>
      <c r="O24" s="2"/>
      <c r="P24" s="2"/>
      <c r="Q24" s="2"/>
    </row>
    <row r="25">
      <c r="A25" s="7"/>
      <c r="B25" s="31" t="s">
        <v>25</v>
      </c>
      <c r="C25" s="43">
        <f>PET!D282</f>
        <v>7.160953087</v>
      </c>
      <c r="D25" s="43">
        <f>'Papel-Carton'!D289</f>
        <v>0.4985086903</v>
      </c>
      <c r="E25" s="43">
        <f>Aluminio!D282</f>
        <v>7.20277152</v>
      </c>
      <c r="F25" s="43">
        <f>Vidrio!D281</f>
        <v>-2.612227308</v>
      </c>
      <c r="G25" s="43">
        <f>'Organicos-Composta'!D290</f>
        <v>0.9230585301</v>
      </c>
      <c r="H25" s="7"/>
      <c r="I25" s="7"/>
      <c r="J25" s="7"/>
      <c r="K25" s="7"/>
      <c r="L25" s="7"/>
      <c r="M25" s="7"/>
      <c r="N25" s="7"/>
      <c r="O25" s="7"/>
      <c r="P25" s="7"/>
      <c r="Q25" s="7"/>
    </row>
    <row r="26">
      <c r="A26" s="2"/>
      <c r="B26" s="25" t="s">
        <v>26</v>
      </c>
      <c r="C26" s="44">
        <f>PET!D283</f>
        <v>43883.56739</v>
      </c>
      <c r="D26" s="44">
        <f>'Papel-Carton'!D290</f>
        <v>143332.8669</v>
      </c>
      <c r="E26" s="44">
        <f>Aluminio!D283</f>
        <v>18863.52451</v>
      </c>
      <c r="F26" s="44">
        <f>Vidrio!D282</f>
        <v>41923.37771</v>
      </c>
      <c r="G26" s="44">
        <f>'Organicos-Composta'!D291</f>
        <v>12130.23676</v>
      </c>
      <c r="H26" s="2"/>
      <c r="I26" s="2"/>
      <c r="J26" s="2"/>
      <c r="K26" s="2"/>
      <c r="L26" s="2"/>
      <c r="M26" s="2"/>
      <c r="N26" s="2"/>
      <c r="O26" s="2"/>
      <c r="P26" s="2"/>
      <c r="Q26" s="2"/>
    </row>
    <row r="27">
      <c r="A27" s="7"/>
      <c r="B27" s="19" t="s">
        <v>27</v>
      </c>
      <c r="C27" s="45">
        <f>PET!D284</f>
        <v>1.240373179</v>
      </c>
      <c r="D27" s="45">
        <f>'Papel-Carton'!D291</f>
        <v>1.012691667</v>
      </c>
      <c r="E27" s="45">
        <f>Aluminio!D284</f>
        <v>1.211938945</v>
      </c>
      <c r="F27" s="45">
        <f>Vidrio!D283</f>
        <v>0.8655791107</v>
      </c>
      <c r="G27" s="45">
        <f>'Organicos-Composta'!D292</f>
        <v>1.193711243</v>
      </c>
      <c r="H27" s="7"/>
      <c r="I27" s="7"/>
      <c r="J27" s="7"/>
      <c r="K27" s="7"/>
      <c r="L27" s="7"/>
      <c r="M27" s="7"/>
      <c r="N27" s="7"/>
      <c r="O27" s="7"/>
      <c r="P27" s="7"/>
      <c r="Q27" s="7"/>
    </row>
    <row r="28">
      <c r="A28" s="2"/>
      <c r="B28" s="25" t="s">
        <v>28</v>
      </c>
      <c r="C28" s="26">
        <f>PET!E94*0.5-PET!C79</f>
        <v>-1311070.851</v>
      </c>
      <c r="D28" s="26">
        <f>'Papel-Carton'!E93*0.5-'Papel-Carton'!C79</f>
        <v>-1986852.823</v>
      </c>
      <c r="E28" s="26">
        <f>Aluminio!E94*0.5-Aluminio!C80</f>
        <v>-1561334.916</v>
      </c>
      <c r="F28" s="26">
        <f>Vidrio!E93*0.5-Vidrio!C79</f>
        <v>-622662.0543</v>
      </c>
      <c r="G28" s="26">
        <f>'Organicos-Composta'!E102*0.5-'Organicos-Composta'!C84</f>
        <v>-185731.192</v>
      </c>
      <c r="H28" s="2"/>
      <c r="I28" s="2"/>
      <c r="J28" s="2"/>
      <c r="K28" s="2"/>
      <c r="L28" s="2"/>
      <c r="M28" s="2"/>
      <c r="N28" s="2"/>
      <c r="O28" s="2"/>
      <c r="P28" s="2"/>
      <c r="Q28" s="2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</row>
    <row r="30">
      <c r="A30" s="2"/>
      <c r="B30" s="46" t="s">
        <v>29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</row>
    <row r="31">
      <c r="A31" s="7"/>
      <c r="B31" s="47"/>
      <c r="C31" s="48" t="s">
        <v>30</v>
      </c>
      <c r="D31" s="49"/>
      <c r="E31" s="50"/>
      <c r="F31" s="51" t="s">
        <v>3</v>
      </c>
      <c r="G31" s="49"/>
      <c r="H31" s="50"/>
      <c r="I31" s="51" t="s">
        <v>4</v>
      </c>
      <c r="J31" s="49"/>
      <c r="K31" s="50"/>
      <c r="L31" s="52" t="s">
        <v>5</v>
      </c>
      <c r="M31" s="4"/>
      <c r="N31" s="5"/>
      <c r="O31" s="52" t="s">
        <v>6</v>
      </c>
      <c r="P31" s="4"/>
      <c r="Q31" s="5"/>
    </row>
    <row r="32">
      <c r="A32" s="53"/>
      <c r="B32" s="54" t="s">
        <v>31</v>
      </c>
      <c r="C32" s="55" t="s">
        <v>32</v>
      </c>
      <c r="D32" s="55" t="s">
        <v>33</v>
      </c>
      <c r="E32" s="55" t="s">
        <v>34</v>
      </c>
      <c r="F32" s="55" t="s">
        <v>32</v>
      </c>
      <c r="G32" s="55" t="s">
        <v>33</v>
      </c>
      <c r="H32" s="55" t="s">
        <v>34</v>
      </c>
      <c r="I32" s="55" t="s">
        <v>32</v>
      </c>
      <c r="J32" s="55" t="s">
        <v>33</v>
      </c>
      <c r="K32" s="55" t="s">
        <v>34</v>
      </c>
      <c r="L32" s="55" t="s">
        <v>32</v>
      </c>
      <c r="M32" s="55" t="s">
        <v>33</v>
      </c>
      <c r="N32" s="55" t="s">
        <v>34</v>
      </c>
      <c r="O32" s="55" t="s">
        <v>32</v>
      </c>
      <c r="P32" s="55" t="s">
        <v>33</v>
      </c>
      <c r="Q32" s="55" t="s">
        <v>34</v>
      </c>
      <c r="R32" s="53"/>
      <c r="S32" s="53"/>
      <c r="T32" s="53"/>
      <c r="U32" s="53"/>
      <c r="V32" s="53"/>
      <c r="W32" s="53"/>
      <c r="X32" s="53"/>
      <c r="Y32" s="53"/>
      <c r="Z32" s="53"/>
    </row>
    <row r="33">
      <c r="A33" s="7"/>
      <c r="B33" s="19" t="s">
        <v>35</v>
      </c>
      <c r="C33" s="56">
        <f>PET!D86</f>
        <v>122.472</v>
      </c>
      <c r="D33" s="56">
        <f>PET!E86</f>
        <v>217.728</v>
      </c>
      <c r="E33" s="56">
        <f>PET!F86</f>
        <v>870.912</v>
      </c>
      <c r="F33" s="56">
        <f>'Papel-Carton'!D85</f>
        <v>326.592</v>
      </c>
      <c r="G33" s="56">
        <f>'Papel-Carton'!E85</f>
        <v>580.608</v>
      </c>
      <c r="H33" s="56">
        <f>'Papel-Carton'!F85</f>
        <v>2322.432</v>
      </c>
      <c r="I33" s="56">
        <f>Aluminio!D86</f>
        <v>51.43824</v>
      </c>
      <c r="J33" s="56">
        <f>Aluminio!E86</f>
        <v>91.44576</v>
      </c>
      <c r="K33" s="56">
        <f>Aluminio!F86</f>
        <v>365.78304</v>
      </c>
      <c r="L33" s="56">
        <f>Vidrio!D85</f>
        <v>81.648</v>
      </c>
      <c r="M33" s="56">
        <f>Vidrio!E85</f>
        <v>145.152</v>
      </c>
      <c r="N33" s="56">
        <f>Vidrio!F85</f>
        <v>580.608</v>
      </c>
      <c r="O33" s="56">
        <f>'Organicos-Composta'!D90</f>
        <v>108.6</v>
      </c>
      <c r="P33" s="56">
        <f>'Organicos-Composta'!E90</f>
        <v>144.8</v>
      </c>
      <c r="Q33" s="56">
        <f>'Organicos-Composta'!F90</f>
        <v>289.6</v>
      </c>
    </row>
    <row r="34">
      <c r="A34" s="2"/>
      <c r="B34" s="25" t="s">
        <v>36</v>
      </c>
      <c r="C34" s="26">
        <f>PET!D94</f>
        <v>2913608.88</v>
      </c>
      <c r="D34" s="26">
        <f>PET!E94</f>
        <v>4281621.12</v>
      </c>
      <c r="E34" s="26">
        <f>PET!F94</f>
        <v>11737716.48</v>
      </c>
      <c r="F34" s="26">
        <f>'Papel-Carton'!D93</f>
        <v>2905035.84</v>
      </c>
      <c r="G34" s="26">
        <f>'Papel-Carton'!E93</f>
        <v>4075868.16</v>
      </c>
      <c r="H34" s="26">
        <f>'Papel-Carton'!F93</f>
        <v>9771632.64</v>
      </c>
      <c r="I34" s="26">
        <f>Aluminio!D94</f>
        <v>3283817.242</v>
      </c>
      <c r="J34" s="26">
        <f>Aluminio!E94</f>
        <v>4802274.086</v>
      </c>
      <c r="K34" s="26">
        <f>Aluminio!F94</f>
        <v>12995356.95</v>
      </c>
      <c r="L34" s="26">
        <f>Vidrio!D93</f>
        <v>687577.4035</v>
      </c>
      <c r="M34" s="26">
        <f>Vidrio!E93</f>
        <v>950199.8285</v>
      </c>
      <c r="N34" s="26">
        <f>Vidrio!F93</f>
        <v>2167839.314</v>
      </c>
      <c r="O34" s="26">
        <f>'Organicos-Composta'!D102</f>
        <v>493912.8</v>
      </c>
      <c r="P34" s="26">
        <f>'Organicos-Composta'!E102</f>
        <v>549950.4</v>
      </c>
      <c r="Q34" s="26">
        <f>'Organicos-Composta'!F102</f>
        <v>774100.8</v>
      </c>
    </row>
    <row r="35">
      <c r="A35" s="7"/>
      <c r="B35" s="19" t="s">
        <v>37</v>
      </c>
      <c r="C35" s="20">
        <f>PET!D94-PET!C79</f>
        <v>-538272.5309</v>
      </c>
      <c r="D35" s="20">
        <f>PET!E94-PET!C79</f>
        <v>829739.7091</v>
      </c>
      <c r="E35" s="20">
        <f>PET!F94-PET!C79</f>
        <v>8285835.069</v>
      </c>
      <c r="F35" s="20">
        <f>'Papel-Carton'!D93-'Papel-Carton'!C79</f>
        <v>-1119751.063</v>
      </c>
      <c r="G35" s="20">
        <f>'Papel-Carton'!E93-'Papel-Carton'!C79</f>
        <v>51081.25653</v>
      </c>
      <c r="H35" s="20">
        <f>'Papel-Carton'!F93-'Papel-Carton'!C79</f>
        <v>5746845.737</v>
      </c>
      <c r="I35" s="20">
        <f>Aluminio!D94-Aluminio!C80</f>
        <v>-678654.718</v>
      </c>
      <c r="J35" s="20">
        <f>Aluminio!E94-Aluminio!C80</f>
        <v>839802.1268</v>
      </c>
      <c r="K35" s="20">
        <f>Aluminio!F94-Aluminio!C80</f>
        <v>9032884.994</v>
      </c>
      <c r="L35" s="20">
        <f>Vidrio!D93-Vidrio!C79</f>
        <v>-410184.565</v>
      </c>
      <c r="M35" s="20">
        <f>Vidrio!E93-Vidrio!C79</f>
        <v>-147562.14</v>
      </c>
      <c r="N35" s="20">
        <f>Vidrio!F93-Vidrio!C79</f>
        <v>1070077.345</v>
      </c>
      <c r="O35" s="20">
        <f>'Organicos-Composta'!D102-'Organicos-Composta'!C84</f>
        <v>33206.408</v>
      </c>
      <c r="P35" s="20">
        <f>'Organicos-Composta'!E102-'Organicos-Composta'!C84</f>
        <v>89244.008</v>
      </c>
      <c r="Q35" s="20">
        <f>'Organicos-Composta'!F102-'Organicos-Composta'!C84</f>
        <v>313394.408</v>
      </c>
    </row>
    <row r="36">
      <c r="A36" s="2"/>
      <c r="B36" s="25" t="s">
        <v>38</v>
      </c>
      <c r="C36" s="40">
        <f>PET!C277</f>
        <v>23.04220027</v>
      </c>
      <c r="D36" s="40">
        <f>PET!D277</f>
        <v>15.00551054</v>
      </c>
      <c r="E36" s="40">
        <f>PET!E277</f>
        <v>1.900366486</v>
      </c>
      <c r="F36" s="40">
        <f>'Papel-Carton'!C284</f>
        <v>999</v>
      </c>
      <c r="G36" s="40">
        <f>'Papel-Carton'!D284</f>
        <v>999</v>
      </c>
      <c r="H36" s="40">
        <f>'Papel-Carton'!E284</f>
        <v>1.741367414</v>
      </c>
      <c r="I36" s="40">
        <f>Aluminio!C277</f>
        <v>999</v>
      </c>
      <c r="J36" s="40">
        <f>Aluminio!D277</f>
        <v>15.4207653</v>
      </c>
      <c r="K36" s="40">
        <f>Aluminio!E277</f>
        <v>1.25079122</v>
      </c>
      <c r="L36" s="40">
        <f>Vidrio!C276</f>
        <v>999</v>
      </c>
      <c r="M36" s="40">
        <f>Vidrio!D276</f>
        <v>999</v>
      </c>
      <c r="N36" s="40">
        <f>Vidrio!E276</f>
        <v>4.804964292</v>
      </c>
      <c r="O36" s="40">
        <f>'Organicos-Composta'!C285</f>
        <v>999</v>
      </c>
      <c r="P36" s="40">
        <f>'Organicos-Composta'!D285</f>
        <v>999</v>
      </c>
      <c r="Q36" s="40">
        <f>'Organicos-Composta'!E285</f>
        <v>38.72539185</v>
      </c>
    </row>
    <row r="37">
      <c r="A37" s="7"/>
      <c r="B37" s="33" t="s">
        <v>39</v>
      </c>
      <c r="C37" s="39">
        <f>PET!C275</f>
        <v>0.8054672579</v>
      </c>
      <c r="D37" s="39">
        <f>PET!D275</f>
        <v>1.128850223</v>
      </c>
      <c r="E37" s="39">
        <f>PET!E275</f>
        <v>6.783183253</v>
      </c>
      <c r="F37" s="39" t="str">
        <f>'Papel-Carton'!C282</f>
        <v>-</v>
      </c>
      <c r="G37" s="39">
        <f>'Papel-Carton'!D282</f>
        <v>-0.0679918039</v>
      </c>
      <c r="H37" s="39">
        <f>'Papel-Carton'!E282</f>
        <v>7.362099814</v>
      </c>
      <c r="I37" s="39" t="str">
        <f>Aluminio!C275</f>
        <v>-</v>
      </c>
      <c r="J37" s="39">
        <f>Aluminio!D275</f>
        <v>1.103242758</v>
      </c>
      <c r="K37" s="39">
        <f>Aluminio!E275</f>
        <v>10.07335224</v>
      </c>
      <c r="L37" s="39" t="str">
        <f>Vidrio!C274</f>
        <v>-</v>
      </c>
      <c r="M37" s="24" t="str">
        <f>Vidrio!D274</f>
        <v>-</v>
      </c>
      <c r="N37" s="24">
        <f>Vidrio!E274</f>
        <v>2.922722998</v>
      </c>
      <c r="O37" s="24">
        <f>'Organicos-Composta'!C283</f>
        <v>-0.1270065324</v>
      </c>
      <c r="P37" s="24">
        <f>'Organicos-Composta'!D283</f>
        <v>0.08151614015</v>
      </c>
      <c r="Q37" s="24">
        <f>'Organicos-Composta'!E283</f>
        <v>0.5579030729</v>
      </c>
    </row>
    <row r="38">
      <c r="A38" s="2"/>
      <c r="B38" s="25" t="s">
        <v>23</v>
      </c>
      <c r="C38" s="42">
        <f>PET!C279</f>
        <v>8.895084895</v>
      </c>
      <c r="D38" s="42">
        <f>PET!D279</f>
        <v>16.56231522</v>
      </c>
      <c r="E38" s="42">
        <f>PET!E279</f>
        <v>118.5873225</v>
      </c>
      <c r="F38" s="42">
        <f>'Papel-Carton'!C286</f>
        <v>-25.90176442</v>
      </c>
      <c r="G38" s="42">
        <f>'Papel-Carton'!D286</f>
        <v>0.5430914122</v>
      </c>
      <c r="H38" s="42">
        <f>'Papel-Carton'!E286</f>
        <v>129.1897541</v>
      </c>
      <c r="I38" s="42">
        <f>Aluminio!C279</f>
        <v>-14.12167378</v>
      </c>
      <c r="J38" s="42">
        <f>Aluminio!D279</f>
        <v>16.10472342</v>
      </c>
      <c r="K38" s="42">
        <f>Aluminio!E279</f>
        <v>179.1962054</v>
      </c>
      <c r="L38" s="42">
        <f>Vidrio!C278</f>
        <v>-19.37676352</v>
      </c>
      <c r="M38" s="42">
        <f>Vidrio!D278</f>
        <v>-7.405692314</v>
      </c>
      <c r="N38" s="42">
        <f>Vidrio!E278</f>
        <v>48.0977514</v>
      </c>
      <c r="O38" s="42">
        <f>'Organicos-Composta'!C287</f>
        <v>0.203600038</v>
      </c>
      <c r="P38" s="42">
        <f>'Organicos-Composta'!D287</f>
        <v>1.685963756</v>
      </c>
      <c r="Q38" s="42">
        <f>'Organicos-Composta'!E287</f>
        <v>7.615418626</v>
      </c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</row>
    <row r="40">
      <c r="A40" s="2"/>
      <c r="B40" s="57" t="s">
        <v>40</v>
      </c>
      <c r="M40" s="2"/>
      <c r="N40" s="2"/>
      <c r="O40" s="2"/>
      <c r="P40" s="2"/>
      <c r="Q40" s="2"/>
    </row>
    <row r="41">
      <c r="A41" s="7"/>
      <c r="B41" s="58" t="s">
        <v>41</v>
      </c>
      <c r="M41" s="7"/>
      <c r="N41" s="7"/>
      <c r="O41" s="7"/>
      <c r="P41" s="7"/>
      <c r="Q41" s="7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</row>
    <row r="44">
      <c r="A44" s="2"/>
      <c r="B44" s="59" t="s">
        <v>42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>
      <c r="A45" s="7"/>
      <c r="B45" s="60" t="s">
        <v>31</v>
      </c>
      <c r="C45" s="60" t="s">
        <v>2</v>
      </c>
      <c r="D45" s="60" t="s">
        <v>3</v>
      </c>
      <c r="E45" s="60" t="s">
        <v>4</v>
      </c>
      <c r="F45" s="60" t="s">
        <v>5</v>
      </c>
      <c r="G45" s="60" t="s">
        <v>6</v>
      </c>
      <c r="H45" s="7"/>
      <c r="I45" s="7"/>
      <c r="J45" s="7"/>
      <c r="K45" s="7"/>
      <c r="L45" s="7"/>
      <c r="M45" s="7"/>
      <c r="N45" s="7"/>
      <c r="O45" s="7"/>
      <c r="P45" s="7"/>
      <c r="Q45" s="7"/>
    </row>
    <row r="46">
      <c r="A46" s="59" t="s">
        <v>43</v>
      </c>
      <c r="B46" s="61">
        <f>PET!E88</f>
        <v>2961100.8</v>
      </c>
      <c r="C46" s="62">
        <f>PET!E88</f>
        <v>2961100.8</v>
      </c>
      <c r="D46" s="62">
        <f>'Papel-Carton'!E87</f>
        <v>2351462.4</v>
      </c>
      <c r="E46" s="62">
        <f>Aluminio!E88</f>
        <v>3264613.632</v>
      </c>
      <c r="F46" s="62">
        <f>Vidrio!E87</f>
        <v>511457.5872</v>
      </c>
      <c r="G46" s="62">
        <f>'Organicos-Composta'!E96</f>
        <v>393856</v>
      </c>
      <c r="H46" s="2"/>
      <c r="I46" s="2"/>
      <c r="J46" s="2"/>
      <c r="K46" s="2"/>
      <c r="L46" s="2"/>
      <c r="M46" s="2"/>
      <c r="N46" s="2"/>
      <c r="O46" s="2"/>
      <c r="P46" s="2"/>
      <c r="Q46" s="2"/>
    </row>
    <row r="47">
      <c r="A47" s="7"/>
      <c r="B47" s="60" t="s">
        <v>44</v>
      </c>
      <c r="C47" s="63">
        <f>PET!E91</f>
        <v>1796256</v>
      </c>
      <c r="D47" s="63">
        <f>'Papel-Carton'!E90</f>
        <v>2177280</v>
      </c>
      <c r="E47" s="63">
        <f>Aluminio!E91</f>
        <v>2071246.464</v>
      </c>
      <c r="F47" s="63">
        <f>Vidrio!E90</f>
        <v>544320</v>
      </c>
      <c r="G47" s="63">
        <f>'Organicos-Composta'!E99</f>
        <v>217200</v>
      </c>
      <c r="H47" s="7"/>
      <c r="I47" s="7"/>
      <c r="J47" s="7"/>
      <c r="K47" s="7"/>
      <c r="L47" s="7"/>
      <c r="M47" s="7"/>
      <c r="N47" s="7"/>
      <c r="O47" s="7"/>
      <c r="P47" s="7"/>
      <c r="Q47" s="7"/>
    </row>
    <row r="48">
      <c r="A48" s="59" t="s">
        <v>45</v>
      </c>
      <c r="B48" s="61">
        <f>C46+C47</f>
        <v>4757356.8</v>
      </c>
      <c r="C48" s="62">
        <f t="shared" ref="C48:G48" si="1">C46+C47</f>
        <v>4757356.8</v>
      </c>
      <c r="D48" s="62">
        <f t="shared" si="1"/>
        <v>4528742.4</v>
      </c>
      <c r="E48" s="62">
        <f t="shared" si="1"/>
        <v>5335860.096</v>
      </c>
      <c r="F48" s="62">
        <f t="shared" si="1"/>
        <v>1055777.587</v>
      </c>
      <c r="G48" s="62">
        <f t="shared" si="1"/>
        <v>611056</v>
      </c>
      <c r="H48" s="2"/>
      <c r="I48" s="2"/>
      <c r="J48" s="2"/>
      <c r="K48" s="2"/>
      <c r="L48" s="2"/>
      <c r="M48" s="2"/>
      <c r="N48" s="2"/>
      <c r="O48" s="2"/>
      <c r="P48" s="2"/>
      <c r="Q48" s="2"/>
    </row>
    <row r="49">
      <c r="A49" s="64"/>
      <c r="B49" s="65" t="s">
        <v>46</v>
      </c>
      <c r="C49" s="64">
        <f t="shared" ref="C49:G49" si="2">C46/C48</f>
        <v>0.6224256293</v>
      </c>
      <c r="D49" s="64">
        <f t="shared" si="2"/>
        <v>0.5192307692</v>
      </c>
      <c r="E49" s="64">
        <f t="shared" si="2"/>
        <v>0.6118251928</v>
      </c>
      <c r="F49" s="64">
        <f t="shared" si="2"/>
        <v>0.4844368676</v>
      </c>
      <c r="G49" s="64">
        <f t="shared" si="2"/>
        <v>0.644549763</v>
      </c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6"/>
      <c r="S49" s="66"/>
      <c r="T49" s="66"/>
      <c r="U49" s="66"/>
      <c r="V49" s="66"/>
      <c r="W49" s="66"/>
      <c r="X49" s="66"/>
      <c r="Y49" s="66"/>
      <c r="Z49" s="66"/>
    </row>
    <row r="50">
      <c r="A50" s="67"/>
      <c r="B50" s="68" t="s">
        <v>47</v>
      </c>
      <c r="C50" s="67">
        <f t="shared" ref="C50:G50" si="3">C47/C48</f>
        <v>0.3775743707</v>
      </c>
      <c r="D50" s="67">
        <f t="shared" si="3"/>
        <v>0.4807692308</v>
      </c>
      <c r="E50" s="67">
        <f t="shared" si="3"/>
        <v>0.3881748072</v>
      </c>
      <c r="F50" s="67">
        <f t="shared" si="3"/>
        <v>0.5155631324</v>
      </c>
      <c r="G50" s="67">
        <f t="shared" si="3"/>
        <v>0.355450237</v>
      </c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6"/>
      <c r="S50" s="66"/>
      <c r="T50" s="66"/>
      <c r="U50" s="66"/>
      <c r="V50" s="66"/>
      <c r="W50" s="66"/>
      <c r="X50" s="66"/>
      <c r="Y50" s="66"/>
      <c r="Z50" s="66"/>
    </row>
    <row r="51">
      <c r="A51" s="7"/>
      <c r="B51" s="60" t="s">
        <v>48</v>
      </c>
      <c r="C51" s="63">
        <f>-PET!C68</f>
        <v>-2694384</v>
      </c>
      <c r="D51" s="63">
        <f>-'Papel-Carton'!C67</f>
        <v>-3265920</v>
      </c>
      <c r="E51" s="63">
        <f>-Aluminio!C68</f>
        <v>-3106869.696</v>
      </c>
      <c r="F51" s="63">
        <f>-Vidrio!C68</f>
        <v>-816480</v>
      </c>
      <c r="G51" s="63">
        <f>-'Organicos-Composta'!C73</f>
        <v>-130320</v>
      </c>
      <c r="H51" s="7"/>
      <c r="I51" s="7"/>
      <c r="J51" s="7"/>
      <c r="K51" s="7"/>
      <c r="L51" s="7"/>
      <c r="M51" s="7"/>
      <c r="N51" s="7"/>
      <c r="O51" s="7"/>
      <c r="P51" s="7"/>
      <c r="Q51" s="7"/>
    </row>
    <row r="52">
      <c r="A52" s="2"/>
      <c r="B52" s="59" t="s">
        <v>49</v>
      </c>
      <c r="C52" s="62">
        <f>PET!E94-PET!C68</f>
        <v>1587237.12</v>
      </c>
      <c r="D52" s="62">
        <f>'Papel-Carton'!E93-'Papel-Carton'!C67</f>
        <v>809948.16</v>
      </c>
      <c r="E52" s="62">
        <f>Aluminio!E94-Aluminio!C68</f>
        <v>1695404.39</v>
      </c>
      <c r="F52" s="62">
        <f>Vidrio!E93-Vidrio!C68</f>
        <v>133719.8285</v>
      </c>
      <c r="G52" s="62">
        <f>'Organicos-Composta'!E102-'Organicos-Composta'!C73</f>
        <v>419630.4</v>
      </c>
      <c r="H52" s="2"/>
      <c r="I52" s="2"/>
      <c r="J52" s="2"/>
      <c r="K52" s="2"/>
      <c r="L52" s="2"/>
      <c r="M52" s="2"/>
      <c r="N52" s="2"/>
      <c r="O52" s="2"/>
      <c r="P52" s="2"/>
      <c r="Q52" s="2"/>
    </row>
    <row r="53">
      <c r="A53" s="64"/>
      <c r="B53" s="65" t="s">
        <v>50</v>
      </c>
      <c r="C53" s="64">
        <f>C52/PET!E94</f>
        <v>0.3707093822</v>
      </c>
      <c r="D53" s="64">
        <f>D52/'Papel-Carton'!E93</f>
        <v>0.1987179487</v>
      </c>
      <c r="E53" s="64">
        <f>E52/Aluminio!E94</f>
        <v>0.353041988</v>
      </c>
      <c r="F53" s="64">
        <f>F52/Vidrio!E93</f>
        <v>0.1407281126</v>
      </c>
      <c r="G53" s="64">
        <f>G52/'Organicos-Composta'!E102</f>
        <v>0.7630331754</v>
      </c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6"/>
      <c r="S53" s="66"/>
      <c r="T53" s="66"/>
      <c r="U53" s="66"/>
      <c r="V53" s="66"/>
      <c r="W53" s="66"/>
      <c r="X53" s="66"/>
      <c r="Y53" s="66"/>
      <c r="Z53" s="66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3">
    <mergeCell ref="F31:H31"/>
    <mergeCell ref="I31:K31"/>
    <mergeCell ref="B40:L40"/>
    <mergeCell ref="B41:L41"/>
    <mergeCell ref="L31:N31"/>
    <mergeCell ref="O31:Q31"/>
    <mergeCell ref="B2:G2"/>
    <mergeCell ref="B3:G3"/>
    <mergeCell ref="B5:G5"/>
    <mergeCell ref="B12:G12"/>
    <mergeCell ref="B24:G24"/>
    <mergeCell ref="B30:Q30"/>
    <mergeCell ref="C31:E31"/>
  </mergeCells>
  <printOptions/>
  <pageMargins bottom="1.0" footer="0.0" header="0.0" left="0.75" right="0.7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7.71"/>
    <col customWidth="1" min="2" max="2" width="72.86"/>
    <col customWidth="1" min="3" max="3" width="37.86"/>
    <col customWidth="1" min="4" max="4" width="26.43"/>
    <col customWidth="1" min="5" max="5" width="32.86"/>
    <col customWidth="1" min="6" max="6" width="25.86"/>
  </cols>
  <sheetData>
    <row r="1">
      <c r="A1" s="69" t="s">
        <v>51</v>
      </c>
    </row>
    <row r="3">
      <c r="A3" s="69" t="s">
        <v>52</v>
      </c>
    </row>
    <row r="4">
      <c r="A4" s="69"/>
      <c r="B4" s="69"/>
      <c r="C4" s="69"/>
      <c r="D4" s="69"/>
      <c r="E4" s="69"/>
    </row>
    <row r="5" ht="22.5" customHeight="1">
      <c r="A5" s="70" t="s">
        <v>53</v>
      </c>
      <c r="B5" s="70" t="s">
        <v>54</v>
      </c>
      <c r="C5" s="70" t="s">
        <v>55</v>
      </c>
      <c r="D5" s="70" t="s">
        <v>56</v>
      </c>
      <c r="E5" s="70" t="s">
        <v>57</v>
      </c>
    </row>
    <row r="6" ht="22.5" customHeight="1">
      <c r="A6" s="71" t="s">
        <v>2</v>
      </c>
      <c r="B6" s="71" t="s">
        <v>58</v>
      </c>
      <c r="C6" s="71" t="s">
        <v>59</v>
      </c>
      <c r="D6" s="71">
        <v>2024.0</v>
      </c>
      <c r="E6" s="71" t="s">
        <v>60</v>
      </c>
    </row>
    <row r="7" ht="22.5" customHeight="1">
      <c r="A7" s="71" t="s">
        <v>3</v>
      </c>
      <c r="B7" s="71" t="s">
        <v>61</v>
      </c>
      <c r="C7" s="71" t="s">
        <v>59</v>
      </c>
      <c r="D7" s="71">
        <v>2024.0</v>
      </c>
      <c r="E7" s="71" t="s">
        <v>60</v>
      </c>
    </row>
    <row r="8" ht="22.5" customHeight="1">
      <c r="A8" s="71" t="s">
        <v>5</v>
      </c>
      <c r="B8" s="71" t="s">
        <v>62</v>
      </c>
      <c r="C8" s="71" t="s">
        <v>59</v>
      </c>
      <c r="D8" s="71">
        <v>2024.0</v>
      </c>
      <c r="E8" s="71" t="s">
        <v>60</v>
      </c>
    </row>
    <row r="9" ht="22.5" customHeight="1">
      <c r="A9" s="71" t="s">
        <v>4</v>
      </c>
      <c r="B9" s="72">
        <v>46310.0</v>
      </c>
      <c r="C9" s="71" t="s">
        <v>59</v>
      </c>
      <c r="D9" s="71">
        <v>2024.0</v>
      </c>
      <c r="E9" s="71" t="s">
        <v>60</v>
      </c>
    </row>
    <row r="10" ht="22.5" customHeight="1">
      <c r="A10" s="71" t="s">
        <v>63</v>
      </c>
      <c r="B10" s="71" t="s">
        <v>64</v>
      </c>
      <c r="C10" s="71" t="s">
        <v>59</v>
      </c>
      <c r="D10" s="71">
        <v>2024.0</v>
      </c>
      <c r="E10" s="71" t="s">
        <v>65</v>
      </c>
    </row>
    <row r="12">
      <c r="A12" s="69" t="s">
        <v>66</v>
      </c>
    </row>
    <row r="13">
      <c r="A13" s="69"/>
      <c r="B13" s="69"/>
      <c r="C13" s="69"/>
      <c r="D13" s="69"/>
      <c r="E13" s="69"/>
      <c r="F13" s="69"/>
    </row>
    <row r="14" ht="22.5" customHeight="1">
      <c r="A14" s="70" t="s">
        <v>67</v>
      </c>
      <c r="B14" s="70" t="s">
        <v>68</v>
      </c>
      <c r="C14" s="70" t="s">
        <v>69</v>
      </c>
      <c r="D14" s="70" t="s">
        <v>70</v>
      </c>
      <c r="E14" s="70" t="s">
        <v>71</v>
      </c>
      <c r="F14" s="70" t="s">
        <v>72</v>
      </c>
    </row>
    <row r="15" ht="22.5" customHeight="1">
      <c r="A15" s="71" t="s">
        <v>73</v>
      </c>
      <c r="B15" s="71" t="s">
        <v>74</v>
      </c>
      <c r="C15" s="71" t="s">
        <v>2</v>
      </c>
      <c r="D15" s="71">
        <v>300.0</v>
      </c>
      <c r="E15" s="71" t="s">
        <v>58</v>
      </c>
      <c r="F15" s="71" t="s">
        <v>75</v>
      </c>
    </row>
    <row r="16" ht="22.5" customHeight="1">
      <c r="A16" s="71" t="s">
        <v>76</v>
      </c>
      <c r="B16" s="71" t="s">
        <v>77</v>
      </c>
      <c r="C16" s="71" t="s">
        <v>3</v>
      </c>
      <c r="D16" s="71">
        <v>500.0</v>
      </c>
      <c r="E16" s="71" t="s">
        <v>61</v>
      </c>
      <c r="F16" s="71" t="s">
        <v>75</v>
      </c>
    </row>
    <row r="17" ht="22.5" customHeight="1">
      <c r="A17" s="71" t="s">
        <v>78</v>
      </c>
      <c r="B17" s="71" t="s">
        <v>79</v>
      </c>
      <c r="C17" s="71" t="s">
        <v>5</v>
      </c>
      <c r="D17" s="71">
        <v>200.0</v>
      </c>
      <c r="E17" s="71" t="s">
        <v>62</v>
      </c>
      <c r="F17" s="71" t="s">
        <v>75</v>
      </c>
    </row>
    <row r="18" ht="22.5" customHeight="1">
      <c r="A18" s="71" t="s">
        <v>80</v>
      </c>
      <c r="B18" s="71" t="s">
        <v>81</v>
      </c>
      <c r="C18" s="71" t="s">
        <v>4</v>
      </c>
      <c r="D18" s="71">
        <v>50.0</v>
      </c>
      <c r="E18" s="72">
        <v>46310.0</v>
      </c>
      <c r="F18" s="71" t="s">
        <v>75</v>
      </c>
    </row>
    <row r="19" ht="22.5" customHeight="1">
      <c r="A19" s="71" t="s">
        <v>82</v>
      </c>
      <c r="B19" s="71" t="s">
        <v>83</v>
      </c>
      <c r="C19" s="71" t="s">
        <v>6</v>
      </c>
      <c r="D19" s="71">
        <v>400.0</v>
      </c>
      <c r="E19" s="71" t="s">
        <v>64</v>
      </c>
      <c r="F19" s="71" t="s">
        <v>75</v>
      </c>
    </row>
    <row r="21">
      <c r="A21" s="69" t="s">
        <v>84</v>
      </c>
    </row>
    <row r="22">
      <c r="A22" s="69"/>
      <c r="B22" s="69"/>
      <c r="C22" s="69"/>
      <c r="D22" s="69"/>
      <c r="E22" s="69"/>
      <c r="F22" s="69"/>
      <c r="G22" s="69"/>
      <c r="H22" s="69"/>
    </row>
    <row r="23" ht="22.5" customHeight="1">
      <c r="A23" s="70" t="s">
        <v>85</v>
      </c>
      <c r="B23" s="70" t="s">
        <v>86</v>
      </c>
      <c r="C23" s="70" t="s">
        <v>87</v>
      </c>
      <c r="D23" s="70" t="s">
        <v>88</v>
      </c>
      <c r="E23" s="70" t="s">
        <v>89</v>
      </c>
      <c r="F23" s="70" t="s">
        <v>90</v>
      </c>
      <c r="G23" s="70" t="s">
        <v>91</v>
      </c>
      <c r="H23" s="70" t="s">
        <v>92</v>
      </c>
    </row>
    <row r="24" ht="22.5" customHeight="1">
      <c r="A24" s="71">
        <v>1.0</v>
      </c>
      <c r="B24" s="73">
        <v>0.25</v>
      </c>
      <c r="C24" s="71" t="s">
        <v>93</v>
      </c>
      <c r="D24" s="72">
        <v>46307.0</v>
      </c>
      <c r="E24" s="71" t="s">
        <v>94</v>
      </c>
      <c r="F24" s="74">
        <v>46212.0</v>
      </c>
      <c r="G24" s="71" t="s">
        <v>95</v>
      </c>
      <c r="H24" s="71" t="s">
        <v>96</v>
      </c>
    </row>
    <row r="25" ht="22.5" customHeight="1">
      <c r="A25" s="71">
        <v>2.0</v>
      </c>
      <c r="B25" s="73">
        <v>0.6</v>
      </c>
      <c r="C25" s="71" t="s">
        <v>97</v>
      </c>
      <c r="D25" s="74">
        <v>46110.0</v>
      </c>
      <c r="E25" s="71" t="s">
        <v>98</v>
      </c>
      <c r="F25" s="71" t="s">
        <v>99</v>
      </c>
      <c r="G25" s="71" t="s">
        <v>100</v>
      </c>
      <c r="H25" s="71" t="s">
        <v>101</v>
      </c>
    </row>
    <row r="26" ht="22.5" customHeight="1">
      <c r="A26" s="71">
        <v>3.0</v>
      </c>
      <c r="B26" s="73">
        <v>1.0</v>
      </c>
      <c r="C26" s="71" t="s">
        <v>102</v>
      </c>
      <c r="D26" s="71" t="s">
        <v>103</v>
      </c>
      <c r="E26" s="71" t="s">
        <v>104</v>
      </c>
      <c r="F26" s="71" t="s">
        <v>94</v>
      </c>
      <c r="G26" s="71" t="s">
        <v>105</v>
      </c>
      <c r="H26" s="71" t="s">
        <v>106</v>
      </c>
    </row>
    <row r="28">
      <c r="A28" s="69" t="s">
        <v>107</v>
      </c>
    </row>
    <row r="29">
      <c r="A29" s="69"/>
      <c r="B29" s="69"/>
      <c r="C29" s="69"/>
    </row>
    <row r="30" ht="22.5" customHeight="1">
      <c r="A30" s="70" t="s">
        <v>108</v>
      </c>
      <c r="B30" s="70" t="s">
        <v>109</v>
      </c>
      <c r="C30" s="70" t="s">
        <v>110</v>
      </c>
    </row>
    <row r="31" ht="22.5" customHeight="1">
      <c r="A31" s="71" t="s">
        <v>111</v>
      </c>
      <c r="B31" s="71" t="s">
        <v>112</v>
      </c>
      <c r="C31" s="71" t="s">
        <v>113</v>
      </c>
    </row>
    <row r="32" ht="22.5" customHeight="1">
      <c r="A32" s="71" t="s">
        <v>114</v>
      </c>
      <c r="B32" s="71" t="s">
        <v>115</v>
      </c>
      <c r="C32" s="71" t="s">
        <v>113</v>
      </c>
    </row>
    <row r="33" ht="22.5" customHeight="1">
      <c r="A33" s="71" t="s">
        <v>116</v>
      </c>
      <c r="B33" s="71" t="s">
        <v>117</v>
      </c>
      <c r="C33" s="71" t="s">
        <v>118</v>
      </c>
    </row>
    <row r="34" ht="22.5" customHeight="1">
      <c r="A34" s="71" t="s">
        <v>119</v>
      </c>
      <c r="B34" s="71" t="s">
        <v>120</v>
      </c>
      <c r="C34" s="71" t="s">
        <v>121</v>
      </c>
    </row>
    <row r="35" ht="22.5" customHeight="1">
      <c r="A35" s="71" t="s">
        <v>122</v>
      </c>
      <c r="B35" s="71" t="s">
        <v>123</v>
      </c>
      <c r="C35" s="71" t="s">
        <v>121</v>
      </c>
    </row>
    <row r="36" ht="22.5" customHeight="1">
      <c r="A36" s="71" t="s">
        <v>6</v>
      </c>
      <c r="B36" s="71" t="s">
        <v>124</v>
      </c>
      <c r="C36" s="71" t="s">
        <v>125</v>
      </c>
    </row>
    <row r="37" ht="22.5" customHeight="1">
      <c r="A37" s="71" t="s">
        <v>126</v>
      </c>
      <c r="B37" s="71" t="s">
        <v>127</v>
      </c>
      <c r="C37" s="71" t="s">
        <v>113</v>
      </c>
    </row>
  </sheetData>
  <dataValidations>
    <dataValidation type="custom" allowBlank="1" showDropDown="1" sqref="B24:B26">
      <formula1>AND(ISNUMBER(B24),(NOT(OR(NOT(ISERROR(DATEVALUE(B24))), AND(ISNUMBER(B24), LEFT(CELL("format", B24))="D")))))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57"/>
    <col customWidth="1" min="2" max="2" width="23.57"/>
    <col customWidth="1" min="3" max="3" width="28.43"/>
    <col customWidth="1" min="4" max="4" width="25.86"/>
    <col customWidth="1" min="5" max="5" width="29.29"/>
    <col customWidth="1" min="6" max="6" width="29.86"/>
    <col customWidth="1" min="7" max="7" width="26.86"/>
    <col customWidth="1" min="8" max="8" width="35.86"/>
    <col customWidth="1" min="9" max="9" width="26.0"/>
    <col customWidth="1" min="11" max="11" width="18.0"/>
  </cols>
  <sheetData>
    <row r="1">
      <c r="A1" s="69" t="s">
        <v>128</v>
      </c>
    </row>
    <row r="3" ht="22.5" customHeight="1">
      <c r="A3" s="75" t="s">
        <v>129</v>
      </c>
      <c r="B3" s="75" t="s">
        <v>130</v>
      </c>
      <c r="C3" s="75" t="s">
        <v>131</v>
      </c>
      <c r="D3" s="75" t="s">
        <v>132</v>
      </c>
      <c r="E3" s="75" t="s">
        <v>133</v>
      </c>
      <c r="F3" s="75" t="s">
        <v>134</v>
      </c>
      <c r="G3" s="75" t="s">
        <v>135</v>
      </c>
      <c r="H3" s="75" t="s">
        <v>136</v>
      </c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</row>
    <row r="4" ht="22.5" customHeight="1">
      <c r="A4" s="71" t="s">
        <v>137</v>
      </c>
      <c r="B4" s="73">
        <v>0.45</v>
      </c>
      <c r="C4" s="71" t="s">
        <v>138</v>
      </c>
      <c r="D4" s="71" t="s">
        <v>139</v>
      </c>
      <c r="E4" s="71">
        <v>88179.0</v>
      </c>
      <c r="F4" s="71">
        <v>0.0</v>
      </c>
      <c r="G4" s="71">
        <v>88179.0</v>
      </c>
      <c r="H4" s="71" t="s">
        <v>140</v>
      </c>
    </row>
    <row r="5" ht="22.5" customHeight="1">
      <c r="A5" s="71" t="s">
        <v>141</v>
      </c>
      <c r="B5" s="73">
        <v>0.2</v>
      </c>
      <c r="C5" s="71" t="s">
        <v>142</v>
      </c>
      <c r="D5" s="71" t="s">
        <v>143</v>
      </c>
      <c r="E5" s="71">
        <v>39190.0</v>
      </c>
      <c r="F5" s="71">
        <v>79200.0</v>
      </c>
      <c r="G5" s="71">
        <v>0.0</v>
      </c>
      <c r="H5" s="71" t="s">
        <v>144</v>
      </c>
    </row>
    <row r="6" ht="22.5" customHeight="1">
      <c r="A6" s="71" t="s">
        <v>2</v>
      </c>
      <c r="B6" s="73">
        <v>0.15</v>
      </c>
      <c r="C6" s="71" t="s">
        <v>145</v>
      </c>
      <c r="D6" s="71" t="s">
        <v>146</v>
      </c>
      <c r="E6" s="71">
        <v>29393.0</v>
      </c>
      <c r="F6" s="71">
        <v>5700.0</v>
      </c>
      <c r="G6" s="71">
        <v>23693.0</v>
      </c>
      <c r="H6" s="71" t="s">
        <v>147</v>
      </c>
    </row>
    <row r="7" ht="22.5" customHeight="1">
      <c r="A7" s="71" t="s">
        <v>5</v>
      </c>
      <c r="B7" s="73">
        <v>0.05</v>
      </c>
      <c r="C7" s="71" t="s">
        <v>148</v>
      </c>
      <c r="D7" s="71" t="s">
        <v>149</v>
      </c>
      <c r="E7" s="71">
        <v>9798.0</v>
      </c>
      <c r="F7" s="71">
        <v>0.0</v>
      </c>
      <c r="G7" s="71">
        <v>9798.0</v>
      </c>
      <c r="H7" s="71" t="s">
        <v>150</v>
      </c>
    </row>
    <row r="8" ht="22.5" customHeight="1">
      <c r="A8" s="71" t="s">
        <v>4</v>
      </c>
      <c r="B8" s="73">
        <v>0.05</v>
      </c>
      <c r="C8" s="71" t="s">
        <v>148</v>
      </c>
      <c r="D8" s="71" t="s">
        <v>149</v>
      </c>
      <c r="E8" s="71">
        <v>9798.0</v>
      </c>
      <c r="F8" s="71">
        <v>0.0</v>
      </c>
      <c r="G8" s="71">
        <v>9798.0</v>
      </c>
      <c r="H8" s="71" t="s">
        <v>151</v>
      </c>
    </row>
    <row r="9" ht="22.5" customHeight="1">
      <c r="A9" s="71" t="s">
        <v>152</v>
      </c>
      <c r="B9" s="73">
        <v>0.1</v>
      </c>
      <c r="C9" s="71" t="s">
        <v>153</v>
      </c>
      <c r="H9" s="71" t="s">
        <v>154</v>
      </c>
    </row>
    <row r="10" ht="22.5" customHeight="1"/>
    <row r="11" ht="22.5" customHeight="1">
      <c r="A11" s="71" t="s">
        <v>155</v>
      </c>
      <c r="B11" s="73">
        <v>1.0</v>
      </c>
      <c r="C11" s="71" t="s">
        <v>156</v>
      </c>
      <c r="D11" s="71" t="s">
        <v>157</v>
      </c>
      <c r="E11" s="71">
        <v>176358.0</v>
      </c>
      <c r="F11" s="71">
        <v>84900.0</v>
      </c>
      <c r="G11" s="71">
        <v>131468.0</v>
      </c>
    </row>
    <row r="13">
      <c r="A13" s="69" t="s">
        <v>158</v>
      </c>
    </row>
    <row r="14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69"/>
    </row>
    <row r="15" ht="22.5" customHeight="1">
      <c r="A15" s="75" t="s">
        <v>129</v>
      </c>
      <c r="B15" s="75" t="s">
        <v>159</v>
      </c>
      <c r="C15" s="75" t="s">
        <v>160</v>
      </c>
      <c r="D15" s="75" t="s">
        <v>161</v>
      </c>
      <c r="E15" s="75" t="s">
        <v>162</v>
      </c>
      <c r="F15" s="75" t="s">
        <v>163</v>
      </c>
      <c r="G15" s="75" t="s">
        <v>164</v>
      </c>
      <c r="H15" s="75" t="s">
        <v>165</v>
      </c>
      <c r="I15" s="75" t="s">
        <v>166</v>
      </c>
      <c r="J15" s="75" t="s">
        <v>167</v>
      </c>
      <c r="K15" s="75" t="s">
        <v>168</v>
      </c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</row>
    <row r="16" ht="22.5" customHeight="1">
      <c r="A16" s="71" t="s">
        <v>137</v>
      </c>
      <c r="B16" s="71">
        <v>22045.0</v>
      </c>
      <c r="C16" s="71">
        <v>0.0</v>
      </c>
      <c r="D16" s="71">
        <v>22045.0</v>
      </c>
      <c r="E16" s="71">
        <v>1.0</v>
      </c>
      <c r="F16" s="71">
        <v>52907.0</v>
      </c>
      <c r="G16" s="71">
        <v>52907.0</v>
      </c>
      <c r="H16" s="71">
        <v>2.0</v>
      </c>
      <c r="I16" s="71">
        <v>88179.0</v>
      </c>
      <c r="J16" s="71">
        <v>88179.0</v>
      </c>
      <c r="K16" s="71">
        <v>3.0</v>
      </c>
    </row>
    <row r="17" ht="22.5" customHeight="1">
      <c r="A17" s="71" t="s">
        <v>141</v>
      </c>
      <c r="B17" s="71">
        <v>9798.0</v>
      </c>
      <c r="C17" s="71">
        <v>79200.0</v>
      </c>
      <c r="D17" s="71">
        <v>0.0</v>
      </c>
      <c r="E17" s="71">
        <v>0.0</v>
      </c>
      <c r="F17" s="71">
        <v>23515.0</v>
      </c>
      <c r="G17" s="71">
        <v>0.0</v>
      </c>
      <c r="H17" s="71">
        <v>0.0</v>
      </c>
      <c r="I17" s="71">
        <v>39190.0</v>
      </c>
      <c r="J17" s="71">
        <v>0.0</v>
      </c>
      <c r="K17" s="71">
        <v>0.0</v>
      </c>
    </row>
    <row r="18" ht="22.5" customHeight="1">
      <c r="A18" s="71" t="s">
        <v>2</v>
      </c>
      <c r="B18" s="71">
        <v>7348.0</v>
      </c>
      <c r="C18" s="71">
        <v>5700.0</v>
      </c>
      <c r="D18" s="71">
        <v>1648.0</v>
      </c>
      <c r="E18" s="71">
        <v>1.0</v>
      </c>
      <c r="F18" s="71">
        <v>17636.0</v>
      </c>
      <c r="G18" s="71">
        <v>11936.0</v>
      </c>
      <c r="H18" s="71">
        <v>1.0</v>
      </c>
      <c r="I18" s="71">
        <v>29393.0</v>
      </c>
      <c r="J18" s="71">
        <v>23693.0</v>
      </c>
      <c r="K18" s="71">
        <v>2.0</v>
      </c>
    </row>
    <row r="19" ht="22.5" customHeight="1">
      <c r="A19" s="71" t="s">
        <v>5</v>
      </c>
      <c r="B19" s="71">
        <v>2450.0</v>
      </c>
      <c r="C19" s="71">
        <v>0.0</v>
      </c>
      <c r="D19" s="71">
        <v>2450.0</v>
      </c>
      <c r="E19" s="71">
        <v>1.0</v>
      </c>
      <c r="F19" s="71">
        <v>5879.0</v>
      </c>
      <c r="G19" s="71">
        <v>5879.0</v>
      </c>
      <c r="H19" s="71">
        <v>1.0</v>
      </c>
      <c r="I19" s="71">
        <v>9798.0</v>
      </c>
      <c r="J19" s="71">
        <v>9798.0</v>
      </c>
      <c r="K19" s="71">
        <v>2.0</v>
      </c>
    </row>
    <row r="20" ht="22.5" customHeight="1">
      <c r="A20" s="71" t="s">
        <v>4</v>
      </c>
      <c r="B20" s="71">
        <v>2450.0</v>
      </c>
      <c r="C20" s="71">
        <v>0.0</v>
      </c>
      <c r="D20" s="71">
        <v>2450.0</v>
      </c>
      <c r="E20" s="71">
        <v>1.0</v>
      </c>
      <c r="F20" s="71">
        <v>5879.0</v>
      </c>
      <c r="G20" s="71">
        <v>5879.0</v>
      </c>
      <c r="H20" s="71">
        <v>1.0</v>
      </c>
      <c r="I20" s="71">
        <v>9798.0</v>
      </c>
      <c r="J20" s="71">
        <v>9798.0</v>
      </c>
      <c r="K20" s="71">
        <v>2.0</v>
      </c>
    </row>
    <row r="21" ht="22.5" customHeight="1"/>
    <row r="22" ht="22.5" customHeight="1">
      <c r="A22" s="71" t="s">
        <v>169</v>
      </c>
      <c r="E22" s="71">
        <v>4.0</v>
      </c>
      <c r="H22" s="71">
        <v>4.0</v>
      </c>
      <c r="K22" s="71">
        <v>9.0</v>
      </c>
    </row>
    <row r="25">
      <c r="A25" s="69" t="s">
        <v>170</v>
      </c>
    </row>
    <row r="27" ht="22.5" customHeight="1">
      <c r="A27" s="75" t="s">
        <v>171</v>
      </c>
      <c r="B27" s="75" t="s">
        <v>172</v>
      </c>
      <c r="C27" s="75" t="s">
        <v>173</v>
      </c>
      <c r="D27" s="75" t="s">
        <v>174</v>
      </c>
      <c r="E27" s="75" t="s">
        <v>175</v>
      </c>
      <c r="F27" s="75" t="s">
        <v>176</v>
      </c>
      <c r="G27" s="76"/>
    </row>
    <row r="28" ht="22.5" customHeight="1">
      <c r="A28" s="77" t="s">
        <v>6</v>
      </c>
      <c r="B28" s="77">
        <v>3204959.0</v>
      </c>
      <c r="C28" s="77">
        <v>1.0</v>
      </c>
      <c r="D28" s="78">
        <f t="shared" ref="D28:D32" si="1">B28*C28</f>
        <v>3204959</v>
      </c>
      <c r="E28" s="77">
        <v>1.0</v>
      </c>
      <c r="F28" s="78">
        <f t="shared" ref="F28:F32" si="2">B28*E28</f>
        <v>3204959</v>
      </c>
      <c r="G28" s="76"/>
    </row>
    <row r="29" ht="22.5" customHeight="1">
      <c r="A29" s="77" t="s">
        <v>2</v>
      </c>
      <c r="B29" s="77">
        <v>3840995.0</v>
      </c>
      <c r="C29" s="77">
        <v>1.0</v>
      </c>
      <c r="D29" s="78">
        <f t="shared" si="1"/>
        <v>3840995</v>
      </c>
      <c r="E29" s="77">
        <v>1.0</v>
      </c>
      <c r="F29" s="78">
        <f t="shared" si="2"/>
        <v>3840995</v>
      </c>
      <c r="G29" s="76"/>
    </row>
    <row r="30" ht="22.5" customHeight="1">
      <c r="A30" s="77" t="s">
        <v>5</v>
      </c>
      <c r="B30" s="77">
        <v>1872564.0</v>
      </c>
      <c r="C30" s="77">
        <v>1.0</v>
      </c>
      <c r="D30" s="78">
        <f t="shared" si="1"/>
        <v>1872564</v>
      </c>
      <c r="E30" s="77">
        <v>2.0</v>
      </c>
      <c r="F30" s="78">
        <f t="shared" si="2"/>
        <v>3745128</v>
      </c>
      <c r="G30" s="76"/>
    </row>
    <row r="31" ht="22.5" customHeight="1">
      <c r="A31" s="77" t="s">
        <v>4</v>
      </c>
      <c r="B31" s="77">
        <v>3865005.0</v>
      </c>
      <c r="C31" s="77">
        <v>1.0</v>
      </c>
      <c r="D31" s="78">
        <f t="shared" si="1"/>
        <v>3865005</v>
      </c>
      <c r="E31" s="77">
        <v>2.0</v>
      </c>
      <c r="F31" s="78">
        <f t="shared" si="2"/>
        <v>7730010</v>
      </c>
      <c r="G31" s="76"/>
    </row>
    <row r="32" ht="22.5" customHeight="1">
      <c r="A32" s="77" t="s">
        <v>3</v>
      </c>
      <c r="B32" s="77">
        <v>3396734.0</v>
      </c>
      <c r="C32" s="77">
        <v>0.0</v>
      </c>
      <c r="D32" s="78">
        <f t="shared" si="1"/>
        <v>0</v>
      </c>
      <c r="E32" s="77">
        <v>0.0</v>
      </c>
      <c r="F32" s="78">
        <f t="shared" si="2"/>
        <v>0</v>
      </c>
      <c r="G32" s="76"/>
    </row>
    <row r="33" ht="22.5" customHeight="1">
      <c r="A33" s="77" t="s">
        <v>155</v>
      </c>
      <c r="B33" s="78"/>
      <c r="C33" s="78">
        <f t="shared" ref="C33:F33" si="3">SUM(C28:C32)</f>
        <v>4</v>
      </c>
      <c r="D33" s="78">
        <f t="shared" si="3"/>
        <v>12783523</v>
      </c>
      <c r="E33" s="78">
        <f t="shared" si="3"/>
        <v>6</v>
      </c>
      <c r="F33" s="78">
        <f t="shared" si="3"/>
        <v>18521092</v>
      </c>
      <c r="G33" s="76"/>
    </row>
    <row r="36">
      <c r="A36" s="69" t="s">
        <v>177</v>
      </c>
    </row>
    <row r="38" ht="22.5" customHeight="1">
      <c r="A38" s="70" t="s">
        <v>68</v>
      </c>
      <c r="B38" s="70" t="s">
        <v>178</v>
      </c>
      <c r="C38" s="70" t="s">
        <v>179</v>
      </c>
      <c r="D38" s="70" t="s">
        <v>180</v>
      </c>
      <c r="E38" s="70" t="s">
        <v>181</v>
      </c>
      <c r="F38" s="70" t="s">
        <v>182</v>
      </c>
    </row>
    <row r="39" ht="22.5" customHeight="1">
      <c r="A39" s="71" t="s">
        <v>6</v>
      </c>
      <c r="B39" s="71">
        <v>20.0</v>
      </c>
      <c r="C39" s="71">
        <v>1.0</v>
      </c>
      <c r="D39" s="79">
        <f t="shared" ref="D39:D43" si="4">B39*C39</f>
        <v>20</v>
      </c>
      <c r="E39" s="71">
        <v>1.0</v>
      </c>
      <c r="F39" s="79">
        <f t="shared" ref="F39:F43" si="5">B39*E39</f>
        <v>20</v>
      </c>
    </row>
    <row r="40" ht="22.5" customHeight="1">
      <c r="A40" s="71" t="s">
        <v>2</v>
      </c>
      <c r="B40" s="71">
        <v>20.0</v>
      </c>
      <c r="C40" s="71">
        <v>1.0</v>
      </c>
      <c r="D40" s="79">
        <f t="shared" si="4"/>
        <v>20</v>
      </c>
      <c r="E40" s="71">
        <v>1.0</v>
      </c>
      <c r="F40" s="79">
        <f t="shared" si="5"/>
        <v>20</v>
      </c>
    </row>
    <row r="41" ht="22.5" customHeight="1">
      <c r="A41" s="71" t="s">
        <v>5</v>
      </c>
      <c r="B41" s="71">
        <v>20.0</v>
      </c>
      <c r="C41" s="71">
        <v>1.0</v>
      </c>
      <c r="D41" s="79">
        <f t="shared" si="4"/>
        <v>20</v>
      </c>
      <c r="E41" s="71">
        <v>2.0</v>
      </c>
      <c r="F41" s="79">
        <f t="shared" si="5"/>
        <v>40</v>
      </c>
    </row>
    <row r="42" ht="22.5" customHeight="1">
      <c r="A42" s="71" t="s">
        <v>4</v>
      </c>
      <c r="B42" s="71">
        <v>20.0</v>
      </c>
      <c r="C42" s="71">
        <v>1.0</v>
      </c>
      <c r="D42" s="79">
        <f t="shared" si="4"/>
        <v>20</v>
      </c>
      <c r="E42" s="71">
        <v>2.0</v>
      </c>
      <c r="F42" s="79">
        <f t="shared" si="5"/>
        <v>40</v>
      </c>
    </row>
    <row r="43" ht="22.5" customHeight="1">
      <c r="A43" s="71" t="s">
        <v>3</v>
      </c>
      <c r="B43" s="71">
        <v>20.0</v>
      </c>
      <c r="C43" s="71">
        <v>0.0</v>
      </c>
      <c r="D43" s="79">
        <f t="shared" si="4"/>
        <v>0</v>
      </c>
      <c r="E43" s="71">
        <v>0.0</v>
      </c>
      <c r="F43" s="79">
        <f t="shared" si="5"/>
        <v>0</v>
      </c>
    </row>
    <row r="44" ht="22.5" customHeight="1">
      <c r="A44" s="71" t="s">
        <v>155</v>
      </c>
      <c r="C44" s="79">
        <f t="shared" ref="C44:F44" si="6">SUM(C39:C43)</f>
        <v>4</v>
      </c>
      <c r="D44" s="79">
        <f t="shared" si="6"/>
        <v>80</v>
      </c>
      <c r="E44" s="79">
        <f t="shared" si="6"/>
        <v>6</v>
      </c>
      <c r="F44" s="79">
        <f t="shared" si="6"/>
        <v>120</v>
      </c>
    </row>
    <row r="46">
      <c r="A46" s="69" t="s">
        <v>183</v>
      </c>
    </row>
  </sheetData>
  <drawing r:id="rId1"/>
  <tableParts count="4">
    <tablePart r:id="rId6"/>
    <tablePart r:id="rId7"/>
    <tablePart r:id="rId8"/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8.71"/>
  </cols>
  <sheetData>
    <row r="1" ht="22.5" customHeight="1">
      <c r="A1" s="80" t="s">
        <v>184</v>
      </c>
      <c r="B1" s="80" t="s">
        <v>185</v>
      </c>
      <c r="C1" s="81"/>
      <c r="D1" s="81"/>
      <c r="E1" s="81"/>
      <c r="F1" s="81"/>
      <c r="G1" s="81"/>
      <c r="H1" s="81"/>
      <c r="I1" s="81"/>
    </row>
    <row r="2" ht="18.75" customHeight="1">
      <c r="A2" s="82"/>
      <c r="B2" s="82"/>
      <c r="C2" s="82"/>
      <c r="D2" s="82"/>
      <c r="E2" s="82"/>
      <c r="F2" s="82"/>
      <c r="G2" s="82"/>
      <c r="H2" s="82"/>
      <c r="I2" s="82"/>
    </row>
    <row r="3" ht="16.5" customHeight="1">
      <c r="A3" s="83" t="s">
        <v>2</v>
      </c>
      <c r="B3" s="83" t="s">
        <v>186</v>
      </c>
      <c r="C3" s="84"/>
      <c r="D3" s="84"/>
      <c r="E3" s="84"/>
      <c r="F3" s="84"/>
      <c r="G3" s="84"/>
      <c r="H3" s="84"/>
      <c r="I3" s="84"/>
    </row>
    <row r="4">
      <c r="A4" s="59" t="s">
        <v>3</v>
      </c>
      <c r="B4" s="59" t="s">
        <v>187</v>
      </c>
      <c r="C4" s="2"/>
      <c r="D4" s="2"/>
      <c r="E4" s="2"/>
      <c r="F4" s="2"/>
      <c r="G4" s="2"/>
      <c r="H4" s="2"/>
      <c r="I4" s="2"/>
    </row>
    <row r="5">
      <c r="A5" s="60" t="s">
        <v>4</v>
      </c>
      <c r="B5" s="60" t="s">
        <v>188</v>
      </c>
      <c r="C5" s="7"/>
      <c r="D5" s="7"/>
      <c r="E5" s="7"/>
      <c r="F5" s="7"/>
      <c r="G5" s="7"/>
      <c r="H5" s="7"/>
      <c r="I5" s="7"/>
    </row>
    <row r="6">
      <c r="A6" s="59" t="s">
        <v>5</v>
      </c>
      <c r="B6" s="59" t="s">
        <v>189</v>
      </c>
      <c r="C6" s="2"/>
      <c r="D6" s="2"/>
      <c r="E6" s="2"/>
      <c r="F6" s="2"/>
      <c r="G6" s="2"/>
      <c r="H6" s="2"/>
      <c r="I6" s="2"/>
    </row>
    <row r="7">
      <c r="A7" s="60" t="s">
        <v>6</v>
      </c>
      <c r="B7" s="60" t="s">
        <v>190</v>
      </c>
      <c r="C7" s="7"/>
      <c r="D7" s="7"/>
      <c r="E7" s="7"/>
      <c r="F7" s="7"/>
      <c r="G7" s="7"/>
      <c r="H7" s="7"/>
      <c r="I7" s="7"/>
    </row>
    <row r="8">
      <c r="A8" s="2"/>
      <c r="B8" s="2"/>
      <c r="C8" s="2"/>
      <c r="D8" s="2"/>
      <c r="E8" s="2"/>
      <c r="F8" s="2"/>
      <c r="G8" s="2"/>
      <c r="H8" s="2"/>
      <c r="I8" s="2"/>
    </row>
    <row r="9">
      <c r="A9" s="7"/>
      <c r="B9" s="7"/>
      <c r="C9" s="7"/>
      <c r="D9" s="7"/>
      <c r="E9" s="7"/>
      <c r="F9" s="7"/>
      <c r="G9" s="7"/>
      <c r="H9" s="7"/>
      <c r="I9" s="7"/>
    </row>
    <row r="10">
      <c r="A10" s="59" t="s">
        <v>191</v>
      </c>
      <c r="B10" s="59" t="s">
        <v>192</v>
      </c>
      <c r="C10" s="2"/>
      <c r="D10" s="2"/>
      <c r="E10" s="2"/>
      <c r="F10" s="2"/>
      <c r="G10" s="2"/>
      <c r="H10" s="2"/>
      <c r="I10" s="2"/>
    </row>
    <row r="11">
      <c r="A11" s="7"/>
      <c r="B11" s="7"/>
      <c r="C11" s="7"/>
      <c r="D11" s="7"/>
      <c r="E11" s="7"/>
      <c r="F11" s="7"/>
      <c r="G11" s="7"/>
      <c r="H11" s="7"/>
      <c r="I11" s="7"/>
    </row>
    <row r="12">
      <c r="A12" s="59" t="s">
        <v>2</v>
      </c>
      <c r="B12" s="59" t="s">
        <v>193</v>
      </c>
      <c r="C12" s="2"/>
      <c r="D12" s="2"/>
      <c r="E12" s="2"/>
      <c r="F12" s="2"/>
      <c r="G12" s="2"/>
      <c r="H12" s="2"/>
      <c r="I12" s="2"/>
    </row>
    <row r="13">
      <c r="A13" s="60" t="s">
        <v>3</v>
      </c>
      <c r="B13" s="60" t="s">
        <v>194</v>
      </c>
      <c r="C13" s="7"/>
      <c r="D13" s="7"/>
      <c r="E13" s="7"/>
      <c r="F13" s="7"/>
      <c r="G13" s="7"/>
      <c r="H13" s="7"/>
      <c r="I13" s="7"/>
    </row>
    <row r="14">
      <c r="A14" s="59" t="s">
        <v>4</v>
      </c>
      <c r="B14" s="85">
        <v>46127.0</v>
      </c>
      <c r="C14" s="2"/>
      <c r="D14" s="2"/>
      <c r="E14" s="2"/>
      <c r="F14" s="2"/>
      <c r="G14" s="2"/>
      <c r="H14" s="2"/>
      <c r="I14" s="2"/>
    </row>
    <row r="15">
      <c r="A15" s="60" t="s">
        <v>5</v>
      </c>
      <c r="B15" s="60" t="s">
        <v>194</v>
      </c>
      <c r="C15" s="7"/>
      <c r="D15" s="7"/>
      <c r="E15" s="7"/>
      <c r="F15" s="7"/>
      <c r="G15" s="7"/>
      <c r="H15" s="7"/>
      <c r="I15" s="7"/>
    </row>
    <row r="16">
      <c r="A16" s="59" t="s">
        <v>6</v>
      </c>
      <c r="B16" s="59" t="s">
        <v>194</v>
      </c>
      <c r="C16" s="2"/>
      <c r="D16" s="2"/>
      <c r="E16" s="2"/>
      <c r="F16" s="2"/>
      <c r="G16" s="2"/>
      <c r="H16" s="2"/>
      <c r="I16" s="2"/>
    </row>
    <row r="17">
      <c r="A17" s="7"/>
      <c r="B17" s="7"/>
      <c r="C17" s="7"/>
      <c r="D17" s="7"/>
      <c r="E17" s="7"/>
      <c r="F17" s="7"/>
      <c r="G17" s="7"/>
      <c r="H17" s="7"/>
      <c r="I17" s="7"/>
    </row>
    <row r="18">
      <c r="A18" s="2"/>
      <c r="B18" s="2"/>
      <c r="C18" s="2"/>
      <c r="D18" s="2"/>
      <c r="E18" s="2"/>
      <c r="F18" s="2"/>
      <c r="G18" s="2"/>
      <c r="H18" s="2"/>
      <c r="I18" s="2"/>
    </row>
    <row r="19">
      <c r="A19" s="60" t="s">
        <v>195</v>
      </c>
      <c r="B19" s="60" t="s">
        <v>196</v>
      </c>
      <c r="C19" s="60" t="s">
        <v>197</v>
      </c>
      <c r="D19" s="7"/>
      <c r="E19" s="7"/>
      <c r="F19" s="7"/>
      <c r="G19" s="7"/>
      <c r="H19" s="7"/>
      <c r="I19" s="7"/>
    </row>
    <row r="20">
      <c r="A20" s="2"/>
      <c r="B20" s="2"/>
      <c r="C20" s="2"/>
      <c r="D20" s="2"/>
      <c r="E20" s="2"/>
      <c r="F20" s="2"/>
      <c r="G20" s="2"/>
      <c r="H20" s="2"/>
      <c r="I20" s="2"/>
    </row>
    <row r="21">
      <c r="A21" s="60" t="s">
        <v>2</v>
      </c>
      <c r="B21" s="60">
        <v>9956877.0</v>
      </c>
      <c r="C21" s="60" t="s">
        <v>198</v>
      </c>
      <c r="D21" s="7"/>
      <c r="E21" s="7"/>
      <c r="F21" s="7"/>
      <c r="G21" s="7"/>
      <c r="H21" s="7"/>
      <c r="I21" s="7"/>
    </row>
    <row r="22">
      <c r="A22" s="59" t="s">
        <v>3</v>
      </c>
      <c r="B22" s="59">
        <v>612975.0</v>
      </c>
      <c r="C22" s="59" t="s">
        <v>199</v>
      </c>
      <c r="D22" s="2"/>
      <c r="E22" s="2"/>
      <c r="F22" s="2"/>
      <c r="G22" s="2"/>
      <c r="H22" s="2"/>
      <c r="I22" s="2"/>
    </row>
    <row r="23">
      <c r="A23" s="60" t="s">
        <v>4</v>
      </c>
      <c r="B23" s="60">
        <v>1.0077626E7</v>
      </c>
      <c r="C23" s="60" t="s">
        <v>200</v>
      </c>
      <c r="D23" s="7"/>
      <c r="E23" s="7"/>
      <c r="F23" s="7"/>
      <c r="G23" s="7"/>
      <c r="H23" s="7"/>
      <c r="I23" s="7"/>
    </row>
    <row r="24">
      <c r="A24" s="59" t="s">
        <v>5</v>
      </c>
      <c r="B24" s="59">
        <v>-1770746.0</v>
      </c>
      <c r="C24" s="59" t="s">
        <v>201</v>
      </c>
      <c r="D24" s="2"/>
      <c r="E24" s="2"/>
      <c r="F24" s="2"/>
      <c r="G24" s="2"/>
      <c r="H24" s="2"/>
      <c r="I24" s="2"/>
    </row>
    <row r="25">
      <c r="A25" s="60" t="s">
        <v>6</v>
      </c>
      <c r="B25" s="60">
        <v>1070928.0</v>
      </c>
      <c r="C25" s="60" t="s">
        <v>202</v>
      </c>
      <c r="D25" s="7"/>
      <c r="E25" s="7"/>
      <c r="F25" s="7"/>
      <c r="G25" s="7"/>
      <c r="H25" s="7"/>
      <c r="I25" s="7"/>
    </row>
    <row r="26">
      <c r="A26" s="2"/>
      <c r="B26" s="2"/>
      <c r="C26" s="2"/>
      <c r="D26" s="2"/>
      <c r="E26" s="2"/>
      <c r="F26" s="2"/>
      <c r="G26" s="2"/>
      <c r="H26" s="2"/>
      <c r="I26" s="2"/>
    </row>
    <row r="27">
      <c r="A27" s="7"/>
      <c r="B27" s="7"/>
      <c r="C27" s="7"/>
      <c r="D27" s="7"/>
      <c r="E27" s="7"/>
      <c r="F27" s="7"/>
      <c r="G27" s="7"/>
      <c r="H27" s="7"/>
      <c r="I27" s="7"/>
    </row>
    <row r="28">
      <c r="A28" s="59" t="s">
        <v>203</v>
      </c>
      <c r="B28" s="86">
        <v>0.3</v>
      </c>
      <c r="C28" s="86">
        <v>0.4</v>
      </c>
      <c r="D28" s="86">
        <v>0.8</v>
      </c>
      <c r="E28" s="2"/>
      <c r="F28" s="2"/>
      <c r="G28" s="2"/>
      <c r="H28" s="2"/>
      <c r="I28" s="2"/>
    </row>
    <row r="29">
      <c r="A29" s="7"/>
      <c r="B29" s="7"/>
      <c r="C29" s="7"/>
      <c r="D29" s="7"/>
      <c r="E29" s="7"/>
      <c r="F29" s="7"/>
      <c r="G29" s="7"/>
      <c r="H29" s="7"/>
      <c r="I29" s="7"/>
    </row>
    <row r="30">
      <c r="A30" s="59" t="s">
        <v>2</v>
      </c>
      <c r="B30" s="59" t="s">
        <v>204</v>
      </c>
      <c r="C30" s="59" t="s">
        <v>205</v>
      </c>
      <c r="D30" s="59" t="s">
        <v>206</v>
      </c>
      <c r="E30" s="2"/>
      <c r="F30" s="2"/>
      <c r="G30" s="2"/>
      <c r="H30" s="2"/>
      <c r="I30" s="2"/>
    </row>
    <row r="31">
      <c r="A31" s="60" t="s">
        <v>3</v>
      </c>
      <c r="B31" s="60" t="s">
        <v>138</v>
      </c>
      <c r="C31" s="60" t="s">
        <v>207</v>
      </c>
      <c r="D31" s="87">
        <v>154224.0</v>
      </c>
      <c r="E31" s="7"/>
      <c r="F31" s="7"/>
      <c r="G31" s="7"/>
      <c r="H31" s="7"/>
      <c r="I31" s="7"/>
    </row>
    <row r="32">
      <c r="A32" s="59" t="s">
        <v>4</v>
      </c>
      <c r="B32" s="59" t="s">
        <v>208</v>
      </c>
      <c r="C32" s="59" t="s">
        <v>209</v>
      </c>
      <c r="D32" s="59" t="s">
        <v>210</v>
      </c>
      <c r="E32" s="2"/>
      <c r="F32" s="2"/>
      <c r="G32" s="2"/>
      <c r="H32" s="2"/>
      <c r="I32" s="2"/>
    </row>
    <row r="33">
      <c r="A33" s="60" t="s">
        <v>5</v>
      </c>
      <c r="B33" s="60" t="s">
        <v>211</v>
      </c>
      <c r="C33" s="60" t="s">
        <v>142</v>
      </c>
      <c r="D33" s="60" t="s">
        <v>207</v>
      </c>
      <c r="E33" s="7"/>
      <c r="F33" s="7"/>
      <c r="G33" s="7"/>
      <c r="H33" s="7"/>
      <c r="I33" s="7"/>
    </row>
    <row r="34">
      <c r="A34" s="59" t="s">
        <v>6</v>
      </c>
      <c r="B34" s="59" t="s">
        <v>212</v>
      </c>
      <c r="C34" s="59" t="s">
        <v>213</v>
      </c>
      <c r="D34" s="59" t="s">
        <v>214</v>
      </c>
      <c r="E34" s="2"/>
      <c r="F34" s="2"/>
      <c r="G34" s="2"/>
      <c r="H34" s="2"/>
      <c r="I34" s="2"/>
    </row>
    <row r="35">
      <c r="A35" s="7"/>
      <c r="B35" s="7"/>
      <c r="C35" s="7"/>
      <c r="D35" s="7"/>
      <c r="E35" s="7"/>
      <c r="F35" s="7"/>
      <c r="G35" s="7"/>
      <c r="H35" s="7"/>
      <c r="I35" s="7"/>
    </row>
    <row r="36">
      <c r="A36" s="2"/>
      <c r="B36" s="2"/>
      <c r="C36" s="2"/>
      <c r="D36" s="2"/>
      <c r="E36" s="2"/>
      <c r="F36" s="2"/>
      <c r="G36" s="2"/>
      <c r="H36" s="2"/>
      <c r="I36" s="2"/>
    </row>
    <row r="37">
      <c r="A37" s="60" t="s">
        <v>215</v>
      </c>
      <c r="B37" s="60" t="s">
        <v>216</v>
      </c>
      <c r="C37" s="7"/>
      <c r="D37" s="7"/>
      <c r="E37" s="7"/>
      <c r="F37" s="7"/>
      <c r="G37" s="7"/>
      <c r="H37" s="7"/>
      <c r="I37" s="7"/>
    </row>
    <row r="38">
      <c r="A38" s="2"/>
      <c r="B38" s="2"/>
      <c r="C38" s="2"/>
      <c r="D38" s="2"/>
      <c r="E38" s="2"/>
      <c r="F38" s="2"/>
      <c r="G38" s="2"/>
      <c r="H38" s="2"/>
      <c r="I38" s="2"/>
    </row>
    <row r="39">
      <c r="A39" s="60" t="s">
        <v>2</v>
      </c>
      <c r="B39" s="60">
        <v>3840995.0</v>
      </c>
      <c r="C39" s="7"/>
      <c r="D39" s="7"/>
      <c r="E39" s="7"/>
      <c r="F39" s="7"/>
      <c r="G39" s="7"/>
      <c r="H39" s="7"/>
      <c r="I39" s="7"/>
    </row>
    <row r="40">
      <c r="A40" s="59" t="s">
        <v>3</v>
      </c>
      <c r="B40" s="59">
        <v>3396734.0</v>
      </c>
      <c r="C40" s="2"/>
      <c r="D40" s="2"/>
      <c r="E40" s="2"/>
      <c r="F40" s="2"/>
      <c r="G40" s="2"/>
      <c r="H40" s="2"/>
      <c r="I40" s="2"/>
    </row>
    <row r="41">
      <c r="A41" s="60" t="s">
        <v>4</v>
      </c>
      <c r="B41" s="60">
        <v>3865005.0</v>
      </c>
      <c r="C41" s="7"/>
      <c r="D41" s="7"/>
      <c r="E41" s="7"/>
      <c r="F41" s="7"/>
      <c r="G41" s="7"/>
      <c r="H41" s="7"/>
      <c r="I41" s="7"/>
    </row>
    <row r="42">
      <c r="A42" s="59" t="s">
        <v>5</v>
      </c>
      <c r="B42" s="59">
        <v>1872564.0</v>
      </c>
      <c r="C42" s="2"/>
      <c r="D42" s="2"/>
      <c r="E42" s="2"/>
      <c r="F42" s="2"/>
      <c r="G42" s="2"/>
      <c r="H42" s="2"/>
      <c r="I42" s="2"/>
    </row>
    <row r="43">
      <c r="A43" s="60" t="s">
        <v>6</v>
      </c>
      <c r="B43" s="60">
        <v>3204959.0</v>
      </c>
      <c r="C43" s="7"/>
      <c r="D43" s="7"/>
      <c r="E43" s="7"/>
      <c r="F43" s="7"/>
      <c r="G43" s="7"/>
      <c r="H43" s="7"/>
      <c r="I43" s="7"/>
    </row>
    <row r="44">
      <c r="A44" s="2"/>
      <c r="B44" s="2"/>
      <c r="C44" s="2"/>
      <c r="D44" s="2"/>
      <c r="E44" s="2"/>
      <c r="F44" s="2"/>
      <c r="G44" s="2"/>
      <c r="H44" s="2"/>
      <c r="I44" s="2"/>
    </row>
    <row r="45">
      <c r="A45" s="7"/>
      <c r="B45" s="7"/>
      <c r="C45" s="7"/>
      <c r="D45" s="7"/>
      <c r="E45" s="7"/>
      <c r="F45" s="7"/>
      <c r="G45" s="7"/>
      <c r="H45" s="7"/>
      <c r="I45" s="7"/>
    </row>
    <row r="46">
      <c r="A46" s="59" t="s">
        <v>217</v>
      </c>
      <c r="B46" s="59" t="s">
        <v>218</v>
      </c>
      <c r="C46" s="59" t="s">
        <v>219</v>
      </c>
      <c r="D46" s="59" t="s">
        <v>220</v>
      </c>
      <c r="E46" s="59" t="s">
        <v>221</v>
      </c>
      <c r="F46" s="59" t="s">
        <v>222</v>
      </c>
      <c r="G46" s="59" t="s">
        <v>223</v>
      </c>
      <c r="H46" s="59" t="s">
        <v>224</v>
      </c>
      <c r="I46" s="59" t="s">
        <v>155</v>
      </c>
    </row>
    <row r="47">
      <c r="A47" s="7"/>
      <c r="B47" s="7"/>
      <c r="C47" s="7"/>
      <c r="D47" s="7"/>
      <c r="E47" s="7"/>
      <c r="F47" s="7"/>
      <c r="G47" s="7"/>
      <c r="H47" s="7"/>
      <c r="I47" s="7"/>
    </row>
    <row r="48">
      <c r="A48" s="59" t="s">
        <v>2</v>
      </c>
      <c r="B48" s="59">
        <v>116775.0</v>
      </c>
      <c r="C48" s="59">
        <v>79424.0</v>
      </c>
      <c r="D48" s="59">
        <v>4500.0</v>
      </c>
      <c r="E48" s="59">
        <v>128449.0</v>
      </c>
      <c r="F48" s="59">
        <v>8000.0</v>
      </c>
      <c r="G48" s="59">
        <v>380589.0</v>
      </c>
      <c r="H48" s="59">
        <v>4315.0</v>
      </c>
      <c r="I48" s="59">
        <v>722052.0</v>
      </c>
    </row>
    <row r="49">
      <c r="A49" s="60" t="s">
        <v>3</v>
      </c>
      <c r="B49" s="60">
        <v>175500.0</v>
      </c>
      <c r="C49" s="60">
        <v>20315.0</v>
      </c>
      <c r="D49" s="60">
        <v>4500.0</v>
      </c>
      <c r="E49" s="60">
        <v>122276.0</v>
      </c>
      <c r="F49" s="60">
        <v>6000.0</v>
      </c>
      <c r="G49" s="60">
        <v>362299.0</v>
      </c>
      <c r="H49" s="60">
        <v>3217.0</v>
      </c>
      <c r="I49" s="60">
        <v>694107.0</v>
      </c>
    </row>
    <row r="50">
      <c r="A50" s="59" t="s">
        <v>4</v>
      </c>
      <c r="B50" s="59">
        <v>107325.0</v>
      </c>
      <c r="C50" s="59">
        <v>136172.0</v>
      </c>
      <c r="D50" s="59">
        <v>3500.0</v>
      </c>
      <c r="E50" s="59">
        <v>144068.0</v>
      </c>
      <c r="F50" s="59">
        <v>5000.0</v>
      </c>
      <c r="G50" s="59">
        <v>426869.0</v>
      </c>
      <c r="H50" s="59">
        <v>3560.0</v>
      </c>
      <c r="I50" s="59">
        <v>826494.0</v>
      </c>
    </row>
    <row r="51">
      <c r="A51" s="60" t="s">
        <v>5</v>
      </c>
      <c r="B51" s="60">
        <v>104625.0</v>
      </c>
      <c r="C51" s="60">
        <v>19510.0</v>
      </c>
      <c r="D51" s="60">
        <v>3000.0</v>
      </c>
      <c r="E51" s="60">
        <v>28506.0</v>
      </c>
      <c r="F51" s="60">
        <v>4000.0</v>
      </c>
      <c r="G51" s="60">
        <v>84462.0</v>
      </c>
      <c r="H51" s="60">
        <v>2156.0</v>
      </c>
      <c r="I51" s="60">
        <v>246259.0</v>
      </c>
    </row>
    <row r="52">
      <c r="A52" s="59" t="s">
        <v>6</v>
      </c>
      <c r="B52" s="59">
        <v>186975.0</v>
      </c>
      <c r="C52" s="59">
        <v>18506.0</v>
      </c>
      <c r="D52" s="59">
        <v>6000.0</v>
      </c>
      <c r="E52" s="59">
        <v>16499.0</v>
      </c>
      <c r="F52" s="59">
        <v>3000.0</v>
      </c>
      <c r="G52" s="59">
        <v>48884.0</v>
      </c>
      <c r="H52" s="59">
        <v>3623.0</v>
      </c>
      <c r="I52" s="59">
        <v>283487.0</v>
      </c>
    </row>
    <row r="53">
      <c r="A53" s="7"/>
      <c r="B53" s="7"/>
      <c r="C53" s="7"/>
      <c r="D53" s="7"/>
      <c r="E53" s="7"/>
      <c r="F53" s="7"/>
      <c r="G53" s="7"/>
      <c r="H53" s="7"/>
      <c r="I53" s="7"/>
    </row>
    <row r="54">
      <c r="A54" s="2"/>
      <c r="B54" s="2"/>
      <c r="C54" s="2"/>
      <c r="D54" s="2"/>
      <c r="E54" s="2"/>
      <c r="F54" s="2"/>
      <c r="G54" s="2"/>
      <c r="H54" s="2"/>
      <c r="I54" s="2"/>
    </row>
    <row r="55">
      <c r="A55" s="60" t="s">
        <v>225</v>
      </c>
      <c r="B55" s="60" t="s">
        <v>226</v>
      </c>
      <c r="C55" s="7"/>
      <c r="D55" s="7"/>
      <c r="E55" s="7"/>
      <c r="F55" s="7"/>
      <c r="G55" s="7"/>
      <c r="H55" s="7"/>
      <c r="I55" s="7"/>
    </row>
    <row r="56">
      <c r="A56" s="2"/>
      <c r="B56" s="2"/>
      <c r="C56" s="2"/>
      <c r="D56" s="2"/>
      <c r="E56" s="2"/>
      <c r="F56" s="2"/>
      <c r="G56" s="2"/>
      <c r="H56" s="2"/>
      <c r="I56" s="2"/>
    </row>
    <row r="57">
      <c r="A57" s="7"/>
      <c r="B57" s="60" t="s">
        <v>227</v>
      </c>
      <c r="C57" s="60" t="s">
        <v>228</v>
      </c>
      <c r="D57" s="60" t="s">
        <v>229</v>
      </c>
      <c r="E57" s="60" t="s">
        <v>230</v>
      </c>
      <c r="F57" s="60" t="s">
        <v>231</v>
      </c>
      <c r="G57" s="7"/>
      <c r="H57" s="7"/>
      <c r="I57" s="7"/>
    </row>
    <row r="58">
      <c r="A58" s="59" t="s">
        <v>2</v>
      </c>
      <c r="B58" s="59">
        <v>2961101.0</v>
      </c>
      <c r="C58" s="59">
        <v>1796256.0</v>
      </c>
      <c r="D58" s="59">
        <v>4757357.0</v>
      </c>
      <c r="E58" s="59">
        <v>-2694384.0</v>
      </c>
      <c r="F58" s="59">
        <v>1587237.0</v>
      </c>
      <c r="G58" s="2"/>
      <c r="H58" s="2"/>
      <c r="I58" s="2"/>
    </row>
    <row r="59">
      <c r="A59" s="60" t="s">
        <v>3</v>
      </c>
      <c r="B59" s="60">
        <v>2351462.0</v>
      </c>
      <c r="C59" s="60">
        <v>2177280.0</v>
      </c>
      <c r="D59" s="60">
        <v>4528742.0</v>
      </c>
      <c r="E59" s="60">
        <v>-3265920.0</v>
      </c>
      <c r="F59" s="60">
        <v>809948.0</v>
      </c>
      <c r="G59" s="7"/>
      <c r="H59" s="7"/>
      <c r="I59" s="7"/>
    </row>
    <row r="60">
      <c r="A60" s="59" t="s">
        <v>4</v>
      </c>
      <c r="B60" s="59">
        <v>3264614.0</v>
      </c>
      <c r="C60" s="59">
        <v>2071246.0</v>
      </c>
      <c r="D60" s="59">
        <v>5335860.0</v>
      </c>
      <c r="E60" s="59">
        <v>-3106870.0</v>
      </c>
      <c r="F60" s="59">
        <v>1695404.0</v>
      </c>
      <c r="G60" s="2"/>
      <c r="H60" s="2"/>
      <c r="I60" s="2"/>
    </row>
    <row r="61">
      <c r="A61" s="60" t="s">
        <v>5</v>
      </c>
      <c r="B61" s="60">
        <v>511458.0</v>
      </c>
      <c r="C61" s="60">
        <v>544320.0</v>
      </c>
      <c r="D61" s="60">
        <v>1055778.0</v>
      </c>
      <c r="E61" s="60">
        <v>-816480.0</v>
      </c>
      <c r="F61" s="60">
        <v>133720.0</v>
      </c>
      <c r="G61" s="7"/>
      <c r="H61" s="7"/>
      <c r="I61" s="7"/>
    </row>
    <row r="62">
      <c r="A62" s="59" t="s">
        <v>6</v>
      </c>
      <c r="B62" s="59">
        <v>393856.0</v>
      </c>
      <c r="C62" s="59">
        <v>217200.0</v>
      </c>
      <c r="D62" s="59">
        <v>611056.0</v>
      </c>
      <c r="E62" s="59">
        <v>-130320.0</v>
      </c>
      <c r="F62" s="59">
        <v>419630.0</v>
      </c>
      <c r="G62" s="2"/>
      <c r="H62" s="2"/>
      <c r="I62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.29"/>
    <col customWidth="1" min="2" max="2" width="30.86"/>
    <col customWidth="1" min="3" max="4" width="16.0"/>
    <col customWidth="1" min="5" max="5" width="25.71"/>
    <col customWidth="1" min="6" max="6" width="18.0"/>
    <col customWidth="1" min="7" max="7" width="16.0"/>
    <col customWidth="1" min="8" max="8" width="12.0"/>
    <col customWidth="1" min="9" max="9" width="14.0"/>
    <col customWidth="1" min="10" max="10" width="12.0"/>
    <col customWidth="1" min="11" max="12" width="14.0"/>
    <col customWidth="1" min="13" max="13" width="16.0"/>
    <col customWidth="1" min="14" max="14" width="18.0"/>
    <col customWidth="1" min="15" max="26" width="8.71"/>
  </cols>
  <sheetData>
    <row r="1" ht="22.5" customHeight="1">
      <c r="A1" s="80">
        <v>26.0</v>
      </c>
      <c r="B1" s="88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</row>
    <row r="2" ht="18.75" customHeight="1">
      <c r="A2" s="82"/>
      <c r="B2" s="89" t="s">
        <v>232</v>
      </c>
      <c r="C2" s="4"/>
      <c r="D2" s="4"/>
      <c r="E2" s="4"/>
      <c r="F2" s="5"/>
      <c r="G2" s="82"/>
      <c r="H2" s="82"/>
      <c r="I2" s="82"/>
      <c r="J2" s="82"/>
      <c r="K2" s="82"/>
      <c r="L2" s="82"/>
      <c r="M2" s="82"/>
      <c r="N2" s="82"/>
    </row>
    <row r="3" ht="16.5" customHeight="1">
      <c r="A3" s="84"/>
      <c r="B3" s="90" t="s">
        <v>233</v>
      </c>
      <c r="C3" s="91" t="s">
        <v>234</v>
      </c>
      <c r="D3" s="91" t="s">
        <v>235</v>
      </c>
      <c r="E3" s="91" t="s">
        <v>236</v>
      </c>
      <c r="F3" s="91"/>
      <c r="G3" s="84"/>
      <c r="H3" s="84"/>
      <c r="I3" s="84"/>
      <c r="J3" s="84"/>
      <c r="K3" s="84"/>
      <c r="L3" s="84"/>
      <c r="M3" s="84"/>
      <c r="N3" s="84"/>
    </row>
    <row r="4">
      <c r="A4" s="2"/>
      <c r="B4" s="92" t="s">
        <v>237</v>
      </c>
      <c r="C4" s="93">
        <v>17.1</v>
      </c>
      <c r="D4" s="94" t="s">
        <v>238</v>
      </c>
      <c r="E4" s="95"/>
      <c r="F4" s="2"/>
      <c r="G4" s="2"/>
      <c r="H4" s="2"/>
      <c r="I4" s="2"/>
      <c r="J4" s="2"/>
      <c r="K4" s="2"/>
      <c r="L4" s="2"/>
      <c r="M4" s="2"/>
      <c r="N4" s="2"/>
    </row>
    <row r="5">
      <c r="A5" s="7"/>
      <c r="B5" s="96" t="s">
        <v>239</v>
      </c>
      <c r="C5" s="97">
        <v>3.0</v>
      </c>
      <c r="D5" s="98" t="s">
        <v>240</v>
      </c>
      <c r="E5" s="99" t="s">
        <v>241</v>
      </c>
      <c r="F5" s="7"/>
      <c r="G5" s="7"/>
      <c r="H5" s="7"/>
      <c r="I5" s="7"/>
      <c r="J5" s="7"/>
      <c r="K5" s="7"/>
      <c r="L5" s="7"/>
      <c r="M5" s="7"/>
      <c r="N5" s="7"/>
    </row>
    <row r="6">
      <c r="A6" s="2"/>
      <c r="B6" s="92" t="s">
        <v>242</v>
      </c>
      <c r="C6" s="93">
        <v>18.5</v>
      </c>
      <c r="D6" s="94" t="s">
        <v>243</v>
      </c>
      <c r="E6" s="95" t="s">
        <v>244</v>
      </c>
      <c r="F6" s="2"/>
      <c r="G6" s="2"/>
      <c r="H6" s="2"/>
      <c r="I6" s="2"/>
      <c r="J6" s="2"/>
      <c r="K6" s="2"/>
      <c r="L6" s="2"/>
      <c r="M6" s="2"/>
      <c r="N6" s="2"/>
    </row>
    <row r="7">
      <c r="A7" s="7"/>
      <c r="B7" s="96" t="s">
        <v>245</v>
      </c>
      <c r="C7" s="100">
        <v>26.0</v>
      </c>
      <c r="D7" s="98" t="s">
        <v>246</v>
      </c>
      <c r="E7" s="99" t="s">
        <v>244</v>
      </c>
      <c r="F7" s="7"/>
      <c r="G7" s="7"/>
      <c r="H7" s="7"/>
      <c r="I7" s="7"/>
      <c r="J7" s="7"/>
      <c r="K7" s="7"/>
      <c r="L7" s="7"/>
      <c r="M7" s="7"/>
      <c r="N7" s="7"/>
    </row>
    <row r="8">
      <c r="A8" s="2"/>
      <c r="B8" s="92" t="s">
        <v>247</v>
      </c>
      <c r="C8" s="93">
        <v>1.1</v>
      </c>
      <c r="D8" s="94" t="s">
        <v>248</v>
      </c>
      <c r="E8" s="95"/>
      <c r="F8" s="2"/>
      <c r="G8" s="2"/>
      <c r="H8" s="2"/>
      <c r="I8" s="2"/>
      <c r="J8" s="2"/>
      <c r="K8" s="2"/>
      <c r="L8" s="2"/>
      <c r="M8" s="2"/>
      <c r="N8" s="2"/>
    </row>
    <row r="9">
      <c r="A9" s="7"/>
      <c r="B9" s="96" t="s">
        <v>249</v>
      </c>
      <c r="C9" s="101">
        <v>300.0</v>
      </c>
      <c r="D9" s="98" t="s">
        <v>250</v>
      </c>
      <c r="E9" s="99"/>
      <c r="F9" s="7"/>
      <c r="G9" s="7"/>
      <c r="H9" s="7"/>
      <c r="I9" s="7"/>
      <c r="J9" s="7"/>
      <c r="K9" s="7"/>
      <c r="L9" s="7"/>
      <c r="M9" s="7"/>
      <c r="N9" s="7"/>
    </row>
    <row r="10">
      <c r="A10" s="2"/>
      <c r="B10" s="92" t="s">
        <v>251</v>
      </c>
      <c r="C10" s="102">
        <v>25.0</v>
      </c>
      <c r="D10" s="94" t="s">
        <v>250</v>
      </c>
      <c r="E10" s="95"/>
      <c r="F10" s="2"/>
      <c r="G10" s="2"/>
      <c r="H10" s="2"/>
      <c r="I10" s="2"/>
      <c r="J10" s="2"/>
      <c r="K10" s="2"/>
      <c r="L10" s="2"/>
      <c r="M10" s="2"/>
      <c r="N10" s="2"/>
    </row>
    <row r="11">
      <c r="A11" s="7"/>
      <c r="B11" s="96" t="s">
        <v>252</v>
      </c>
      <c r="C11" s="103">
        <v>0.1</v>
      </c>
      <c r="D11" s="98" t="s">
        <v>253</v>
      </c>
      <c r="E11" s="104" t="s">
        <v>254</v>
      </c>
      <c r="F11" s="7"/>
      <c r="G11" s="7"/>
      <c r="H11" s="7"/>
      <c r="I11" s="7"/>
      <c r="J11" s="7"/>
      <c r="K11" s="7"/>
      <c r="L11" s="7"/>
      <c r="M11" s="7"/>
      <c r="N11" s="7"/>
    </row>
    <row r="12">
      <c r="A12" s="2"/>
      <c r="B12" s="92" t="s">
        <v>255</v>
      </c>
      <c r="C12" s="102">
        <v>65.0</v>
      </c>
      <c r="D12" s="94" t="s">
        <v>256</v>
      </c>
      <c r="E12" s="105" t="s">
        <v>257</v>
      </c>
      <c r="F12" s="2"/>
      <c r="G12" s="2"/>
      <c r="H12" s="2"/>
      <c r="I12" s="2"/>
      <c r="J12" s="2"/>
      <c r="K12" s="2"/>
      <c r="L12" s="2"/>
      <c r="M12" s="2"/>
      <c r="N12" s="2"/>
    </row>
    <row r="13">
      <c r="A13" s="7"/>
      <c r="B13" s="96" t="s">
        <v>258</v>
      </c>
      <c r="C13" s="97">
        <v>1.35</v>
      </c>
      <c r="D13" s="98" t="s">
        <v>248</v>
      </c>
      <c r="E13" s="104" t="s">
        <v>257</v>
      </c>
      <c r="F13" s="7"/>
      <c r="G13" s="7"/>
      <c r="H13" s="7"/>
      <c r="I13" s="7"/>
      <c r="J13" s="7"/>
      <c r="K13" s="7"/>
      <c r="L13" s="7"/>
      <c r="M13" s="7"/>
      <c r="N13" s="7"/>
    </row>
    <row r="14">
      <c r="A14" s="2"/>
      <c r="B14" s="92" t="s">
        <v>259</v>
      </c>
      <c r="C14" s="106">
        <v>0.2</v>
      </c>
      <c r="D14" s="94" t="s">
        <v>253</v>
      </c>
      <c r="E14" s="95"/>
      <c r="F14" s="2"/>
      <c r="G14" s="2"/>
      <c r="H14" s="2"/>
      <c r="I14" s="2"/>
      <c r="J14" s="2"/>
      <c r="K14" s="2"/>
      <c r="L14" s="2"/>
      <c r="M14" s="2"/>
      <c r="N14" s="2"/>
    </row>
    <row r="15">
      <c r="A15" s="7"/>
      <c r="B15" s="96" t="s">
        <v>260</v>
      </c>
      <c r="C15" s="107">
        <v>0.3</v>
      </c>
      <c r="D15" s="98" t="s">
        <v>253</v>
      </c>
      <c r="E15" s="99"/>
      <c r="F15" s="7"/>
      <c r="G15" s="7"/>
      <c r="H15" s="7"/>
      <c r="I15" s="7"/>
      <c r="J15" s="7"/>
      <c r="K15" s="7"/>
      <c r="L15" s="7"/>
      <c r="M15" s="7"/>
      <c r="N15" s="7"/>
    </row>
    <row r="16">
      <c r="A16" s="2"/>
      <c r="B16" s="92" t="s">
        <v>261</v>
      </c>
      <c r="C16" s="106">
        <v>0.1</v>
      </c>
      <c r="D16" s="94" t="s">
        <v>253</v>
      </c>
      <c r="E16" s="95"/>
      <c r="F16" s="2"/>
      <c r="G16" s="2"/>
      <c r="H16" s="2"/>
      <c r="I16" s="2"/>
      <c r="J16" s="2"/>
      <c r="K16" s="2"/>
      <c r="L16" s="2"/>
      <c r="M16" s="2"/>
      <c r="N16" s="2"/>
    </row>
    <row r="17">
      <c r="A17" s="7"/>
      <c r="B17" s="96" t="s">
        <v>262</v>
      </c>
      <c r="C17" s="107">
        <v>0.05</v>
      </c>
      <c r="D17" s="98" t="s">
        <v>253</v>
      </c>
      <c r="E17" s="99"/>
      <c r="F17" s="7"/>
      <c r="G17" s="7"/>
      <c r="H17" s="7"/>
      <c r="I17" s="7"/>
      <c r="J17" s="7"/>
      <c r="K17" s="7"/>
      <c r="L17" s="7"/>
      <c r="M17" s="7"/>
      <c r="N17" s="7"/>
    </row>
    <row r="18">
      <c r="A18" s="2"/>
      <c r="B18" s="92" t="s">
        <v>263</v>
      </c>
      <c r="C18" s="102">
        <v>10.0</v>
      </c>
      <c r="D18" s="94" t="s">
        <v>264</v>
      </c>
      <c r="E18" s="105" t="s">
        <v>257</v>
      </c>
      <c r="F18" s="2"/>
      <c r="G18" s="2"/>
      <c r="H18" s="2"/>
      <c r="I18" s="2"/>
      <c r="J18" s="2"/>
      <c r="K18" s="2"/>
      <c r="L18" s="2"/>
      <c r="M18" s="2"/>
      <c r="N18" s="2"/>
    </row>
    <row r="19">
      <c r="A19" s="7"/>
      <c r="B19" s="96" t="s">
        <v>265</v>
      </c>
      <c r="C19" s="108">
        <v>4.0</v>
      </c>
      <c r="D19" s="98" t="s">
        <v>264</v>
      </c>
      <c r="E19" s="99"/>
      <c r="F19" s="7"/>
      <c r="G19" s="7"/>
      <c r="H19" s="7"/>
      <c r="I19" s="7"/>
      <c r="J19" s="7"/>
      <c r="K19" s="7"/>
      <c r="L19" s="7"/>
      <c r="M19" s="7"/>
      <c r="N19" s="7"/>
    </row>
    <row r="20">
      <c r="A20" s="2"/>
      <c r="B20" s="92" t="s">
        <v>266</v>
      </c>
      <c r="C20" s="109">
        <v>3.0</v>
      </c>
      <c r="D20" s="94" t="s">
        <v>264</v>
      </c>
      <c r="E20" s="95"/>
      <c r="F20" s="2"/>
      <c r="G20" s="2"/>
      <c r="H20" s="2"/>
      <c r="I20" s="2"/>
      <c r="J20" s="2"/>
      <c r="K20" s="2"/>
      <c r="L20" s="2"/>
      <c r="M20" s="2"/>
      <c r="N20" s="2"/>
    </row>
    <row r="21">
      <c r="A21" s="7"/>
      <c r="B21" s="96" t="s">
        <v>267</v>
      </c>
      <c r="C21" s="110">
        <v>0.75</v>
      </c>
      <c r="D21" s="98" t="s">
        <v>253</v>
      </c>
      <c r="E21" s="99"/>
      <c r="F21" s="7"/>
      <c r="G21" s="7"/>
      <c r="H21" s="7"/>
      <c r="I21" s="7"/>
      <c r="J21" s="7"/>
      <c r="K21" s="7"/>
      <c r="L21" s="7"/>
      <c r="M21" s="7"/>
      <c r="N21" s="7"/>
    </row>
    <row r="22">
      <c r="A22" s="2"/>
      <c r="B22" s="92" t="s">
        <v>268</v>
      </c>
      <c r="C22" s="106">
        <v>0.5</v>
      </c>
      <c r="D22" s="94" t="s">
        <v>253</v>
      </c>
      <c r="E22" s="95"/>
      <c r="F22" s="2"/>
      <c r="G22" s="2"/>
      <c r="H22" s="2"/>
      <c r="I22" s="2"/>
      <c r="J22" s="2"/>
      <c r="K22" s="2"/>
      <c r="L22" s="2"/>
      <c r="M22" s="2"/>
      <c r="N22" s="2"/>
    </row>
    <row r="23">
      <c r="A23" s="7"/>
      <c r="B23" s="96" t="s">
        <v>269</v>
      </c>
      <c r="C23" s="107">
        <v>0.75</v>
      </c>
      <c r="D23" s="98" t="s">
        <v>253</v>
      </c>
      <c r="E23" s="99"/>
      <c r="F23" s="7"/>
      <c r="G23" s="7"/>
      <c r="H23" s="7"/>
      <c r="I23" s="7"/>
      <c r="J23" s="7"/>
      <c r="K23" s="7"/>
      <c r="L23" s="7"/>
      <c r="M23" s="7"/>
      <c r="N23" s="7"/>
    </row>
    <row r="24">
      <c r="A24" s="2"/>
      <c r="B24" s="92" t="s">
        <v>270</v>
      </c>
      <c r="C24" s="106">
        <v>1.0</v>
      </c>
      <c r="D24" s="94" t="s">
        <v>253</v>
      </c>
      <c r="E24" s="95"/>
      <c r="F24" s="2"/>
      <c r="G24" s="2"/>
      <c r="H24" s="2"/>
      <c r="I24" s="2"/>
      <c r="J24" s="2"/>
      <c r="K24" s="2"/>
      <c r="L24" s="2"/>
      <c r="M24" s="2"/>
      <c r="N24" s="2"/>
    </row>
    <row r="25">
      <c r="A25" s="7"/>
      <c r="B25" s="96" t="s">
        <v>271</v>
      </c>
      <c r="C25" s="101">
        <v>30.0</v>
      </c>
      <c r="D25" s="98" t="s">
        <v>250</v>
      </c>
      <c r="E25" s="99"/>
      <c r="F25" s="7"/>
      <c r="G25" s="7"/>
      <c r="H25" s="7"/>
      <c r="I25" s="7"/>
      <c r="J25" s="7"/>
      <c r="K25" s="7"/>
      <c r="L25" s="7"/>
      <c r="M25" s="7"/>
      <c r="N25" s="7"/>
    </row>
    <row r="26">
      <c r="A26" s="2"/>
      <c r="B26" s="92" t="s">
        <v>272</v>
      </c>
      <c r="C26" s="102">
        <v>7.0</v>
      </c>
      <c r="D26" s="94" t="s">
        <v>250</v>
      </c>
      <c r="E26" s="95"/>
      <c r="F26" s="2"/>
      <c r="G26" s="2"/>
      <c r="H26" s="2"/>
      <c r="I26" s="2"/>
      <c r="J26" s="2"/>
      <c r="K26" s="2"/>
      <c r="L26" s="2"/>
      <c r="M26" s="2"/>
      <c r="N26" s="2"/>
    </row>
    <row r="27">
      <c r="A27" s="7"/>
      <c r="B27" s="96" t="s">
        <v>273</v>
      </c>
      <c r="C27" s="101">
        <v>15.0</v>
      </c>
      <c r="D27" s="98" t="s">
        <v>250</v>
      </c>
      <c r="E27" s="99"/>
      <c r="F27" s="7"/>
      <c r="G27" s="7"/>
      <c r="H27" s="7"/>
      <c r="I27" s="7"/>
      <c r="J27" s="7"/>
      <c r="K27" s="7"/>
      <c r="L27" s="7"/>
      <c r="M27" s="7"/>
      <c r="N27" s="7"/>
    </row>
    <row r="28">
      <c r="A28" s="2"/>
      <c r="B28" s="92" t="s">
        <v>274</v>
      </c>
      <c r="C28" s="111">
        <v>5.0</v>
      </c>
      <c r="D28" s="94" t="s">
        <v>248</v>
      </c>
      <c r="E28" s="95" t="s">
        <v>275</v>
      </c>
      <c r="F28" s="2"/>
      <c r="G28" s="2"/>
      <c r="H28" s="2"/>
      <c r="I28" s="2"/>
      <c r="J28" s="2"/>
      <c r="K28" s="2"/>
      <c r="L28" s="2"/>
      <c r="M28" s="2"/>
      <c r="N28" s="2"/>
    </row>
    <row r="29">
      <c r="A29" s="7"/>
      <c r="B29" s="96" t="s">
        <v>276</v>
      </c>
      <c r="C29" s="107">
        <v>0.6</v>
      </c>
      <c r="D29" s="98" t="s">
        <v>253</v>
      </c>
      <c r="E29" s="99" t="s">
        <v>277</v>
      </c>
      <c r="F29" s="7"/>
      <c r="G29" s="7"/>
      <c r="H29" s="7"/>
      <c r="I29" s="7"/>
      <c r="J29" s="7"/>
      <c r="K29" s="7"/>
      <c r="L29" s="7"/>
      <c r="M29" s="7"/>
      <c r="N29" s="7"/>
    </row>
    <row r="30">
      <c r="A30" s="2"/>
      <c r="B30" s="92" t="s">
        <v>278</v>
      </c>
      <c r="C30" s="106">
        <v>0.135</v>
      </c>
      <c r="D30" s="94" t="s">
        <v>279</v>
      </c>
      <c r="E30" s="95"/>
      <c r="F30" s="2"/>
      <c r="G30" s="2"/>
      <c r="H30" s="2"/>
      <c r="I30" s="2"/>
      <c r="J30" s="2"/>
      <c r="K30" s="2"/>
      <c r="L30" s="2"/>
      <c r="M30" s="2"/>
      <c r="N30" s="2"/>
    </row>
    <row r="31">
      <c r="A31" s="7"/>
      <c r="B31" s="96" t="s">
        <v>280</v>
      </c>
      <c r="C31" s="101">
        <v>6.0</v>
      </c>
      <c r="D31" s="98" t="s">
        <v>264</v>
      </c>
      <c r="E31" s="99"/>
      <c r="F31" s="7"/>
      <c r="G31" s="7"/>
      <c r="H31" s="7"/>
      <c r="I31" s="7"/>
      <c r="J31" s="7"/>
      <c r="K31" s="7"/>
      <c r="L31" s="7"/>
      <c r="M31" s="7"/>
      <c r="N31" s="7"/>
    </row>
    <row r="32">
      <c r="A32" s="2"/>
      <c r="B32" s="11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>
      <c r="A33" s="7"/>
      <c r="B33" s="113" t="s">
        <v>281</v>
      </c>
      <c r="C33" s="4"/>
      <c r="D33" s="4"/>
      <c r="E33" s="4"/>
      <c r="F33" s="5"/>
      <c r="G33" s="16"/>
      <c r="H33" s="16"/>
      <c r="I33" s="16"/>
      <c r="J33" s="16"/>
      <c r="K33" s="16"/>
      <c r="L33" s="16"/>
      <c r="M33" s="16"/>
      <c r="N33" s="16"/>
    </row>
    <row r="34">
      <c r="A34" s="2"/>
      <c r="B34" s="92" t="s">
        <v>282</v>
      </c>
      <c r="C34" s="109">
        <v>1360.8</v>
      </c>
      <c r="D34" s="94" t="s">
        <v>283</v>
      </c>
      <c r="E34" s="95" t="s">
        <v>244</v>
      </c>
      <c r="F34" s="2"/>
      <c r="G34" s="2"/>
      <c r="H34" s="2"/>
      <c r="I34" s="2"/>
      <c r="J34" s="2"/>
      <c r="K34" s="2"/>
      <c r="L34" s="2"/>
      <c r="M34" s="2"/>
      <c r="N34" s="2"/>
    </row>
    <row r="35">
      <c r="A35" s="7"/>
      <c r="B35" s="96" t="s">
        <v>284</v>
      </c>
      <c r="C35" s="107">
        <v>0.3</v>
      </c>
      <c r="D35" s="98" t="s">
        <v>253</v>
      </c>
      <c r="E35" s="99" t="s">
        <v>285</v>
      </c>
      <c r="F35" s="7"/>
      <c r="G35" s="7"/>
      <c r="H35" s="7"/>
      <c r="I35" s="7"/>
      <c r="J35" s="7"/>
      <c r="K35" s="7"/>
      <c r="L35" s="7"/>
      <c r="M35" s="7"/>
      <c r="N35" s="7"/>
    </row>
    <row r="36">
      <c r="A36" s="2"/>
      <c r="B36" s="92" t="s">
        <v>286</v>
      </c>
      <c r="C36" s="106">
        <v>0.4</v>
      </c>
      <c r="D36" s="94" t="s">
        <v>253</v>
      </c>
      <c r="E36" s="95" t="s">
        <v>287</v>
      </c>
      <c r="F36" s="2"/>
      <c r="G36" s="2"/>
      <c r="H36" s="2"/>
      <c r="I36" s="2"/>
      <c r="J36" s="2"/>
      <c r="K36" s="2"/>
      <c r="L36" s="2"/>
      <c r="M36" s="2"/>
      <c r="N36" s="2"/>
    </row>
    <row r="37">
      <c r="A37" s="7"/>
      <c r="B37" s="96" t="s">
        <v>288</v>
      </c>
      <c r="C37" s="107">
        <v>0.8</v>
      </c>
      <c r="D37" s="98" t="s">
        <v>253</v>
      </c>
      <c r="E37" s="99" t="s">
        <v>289</v>
      </c>
      <c r="F37" s="7"/>
      <c r="G37" s="7"/>
      <c r="H37" s="7"/>
      <c r="I37" s="7"/>
      <c r="J37" s="7"/>
      <c r="K37" s="7"/>
      <c r="L37" s="7"/>
      <c r="M37" s="7"/>
      <c r="N37" s="7"/>
    </row>
    <row r="38">
      <c r="A38" s="2"/>
      <c r="B38" s="92" t="s">
        <v>290</v>
      </c>
      <c r="C38" s="93">
        <v>0.85</v>
      </c>
      <c r="D38" s="94" t="s">
        <v>291</v>
      </c>
      <c r="E38" s="95"/>
      <c r="F38" s="2"/>
      <c r="G38" s="2"/>
      <c r="H38" s="2"/>
      <c r="I38" s="2"/>
      <c r="J38" s="2"/>
      <c r="K38" s="2"/>
      <c r="L38" s="2"/>
      <c r="M38" s="2"/>
      <c r="N38" s="2"/>
    </row>
    <row r="39">
      <c r="A39" s="7"/>
      <c r="B39" s="96" t="s">
        <v>292</v>
      </c>
      <c r="C39" s="100">
        <v>16.0</v>
      </c>
      <c r="D39" s="98" t="s">
        <v>243</v>
      </c>
      <c r="E39" s="99" t="s">
        <v>293</v>
      </c>
      <c r="F39" s="7"/>
      <c r="G39" s="7"/>
      <c r="H39" s="7"/>
      <c r="I39" s="7"/>
      <c r="J39" s="7"/>
      <c r="K39" s="7"/>
      <c r="L39" s="7"/>
      <c r="M39" s="7"/>
      <c r="N39" s="7"/>
    </row>
    <row r="40">
      <c r="A40" s="2"/>
      <c r="B40" s="114" t="s">
        <v>294</v>
      </c>
      <c r="C40" s="115">
        <v>5.5</v>
      </c>
      <c r="D40" s="94" t="s">
        <v>243</v>
      </c>
      <c r="E40" s="105" t="s">
        <v>295</v>
      </c>
      <c r="F40" s="2"/>
      <c r="G40" s="2"/>
      <c r="H40" s="2"/>
      <c r="I40" s="2"/>
      <c r="J40" s="2"/>
      <c r="K40" s="2"/>
      <c r="L40" s="2"/>
      <c r="M40" s="2"/>
      <c r="N40" s="2"/>
    </row>
    <row r="41">
      <c r="A41" s="7"/>
      <c r="B41" s="96" t="s">
        <v>296</v>
      </c>
      <c r="C41" s="101">
        <v>300.0</v>
      </c>
      <c r="D41" s="98" t="s">
        <v>297</v>
      </c>
      <c r="E41" s="99"/>
      <c r="F41" s="7"/>
      <c r="G41" s="7"/>
      <c r="H41" s="7"/>
      <c r="I41" s="7"/>
      <c r="J41" s="7"/>
      <c r="K41" s="7"/>
      <c r="L41" s="7"/>
      <c r="M41" s="7"/>
      <c r="N41" s="7"/>
    </row>
    <row r="42">
      <c r="A42" s="2"/>
      <c r="B42" s="92" t="s">
        <v>298</v>
      </c>
      <c r="C42" s="116">
        <v>116775.0</v>
      </c>
      <c r="D42" s="94" t="s">
        <v>299</v>
      </c>
      <c r="E42" s="95" t="s">
        <v>300</v>
      </c>
      <c r="F42" s="2"/>
      <c r="G42" s="2"/>
      <c r="H42" s="2"/>
      <c r="I42" s="2"/>
      <c r="J42" s="2"/>
      <c r="K42" s="2"/>
      <c r="L42" s="2"/>
      <c r="M42" s="2"/>
      <c r="N42" s="2"/>
    </row>
    <row r="43">
      <c r="A43" s="7"/>
      <c r="B43" s="96" t="s">
        <v>301</v>
      </c>
      <c r="C43" s="117" t="s">
        <v>302</v>
      </c>
      <c r="D43" s="98"/>
      <c r="E43" s="99" t="s">
        <v>303</v>
      </c>
      <c r="F43" s="7"/>
      <c r="G43" s="7"/>
      <c r="H43" s="7"/>
      <c r="I43" s="7"/>
      <c r="J43" s="7"/>
      <c r="K43" s="7"/>
      <c r="L43" s="7"/>
      <c r="M43" s="7"/>
      <c r="N43" s="7"/>
    </row>
    <row r="44">
      <c r="A44" s="2"/>
      <c r="B44" s="118" t="s">
        <v>304</v>
      </c>
      <c r="C44" s="59">
        <v>15000.0</v>
      </c>
      <c r="D44" s="59" t="s">
        <v>299</v>
      </c>
      <c r="E44" s="59" t="s">
        <v>305</v>
      </c>
      <c r="F44" s="2"/>
      <c r="G44" s="2"/>
      <c r="H44" s="2"/>
      <c r="I44" s="2"/>
      <c r="J44" s="2"/>
      <c r="K44" s="2"/>
      <c r="L44" s="2"/>
      <c r="M44" s="2"/>
      <c r="N44" s="2"/>
    </row>
    <row r="45">
      <c r="A45" s="7"/>
      <c r="B45" s="119" t="s">
        <v>306</v>
      </c>
      <c r="C45" s="60">
        <v>4500.0</v>
      </c>
      <c r="D45" s="60" t="s">
        <v>299</v>
      </c>
      <c r="E45" s="60" t="s">
        <v>305</v>
      </c>
      <c r="F45" s="7"/>
      <c r="G45" s="7"/>
      <c r="H45" s="7"/>
      <c r="I45" s="7"/>
      <c r="J45" s="7"/>
      <c r="K45" s="7"/>
      <c r="L45" s="7"/>
      <c r="M45" s="7"/>
      <c r="N45" s="7"/>
    </row>
    <row r="46">
      <c r="A46" s="2"/>
      <c r="B46" s="120" t="s">
        <v>307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5"/>
    </row>
    <row r="47">
      <c r="A47" s="9"/>
      <c r="B47" s="121" t="s">
        <v>308</v>
      </c>
      <c r="C47" s="122" t="s">
        <v>309</v>
      </c>
      <c r="D47" s="122" t="s">
        <v>310</v>
      </c>
      <c r="E47" s="122" t="s">
        <v>311</v>
      </c>
      <c r="F47" s="122" t="s">
        <v>312</v>
      </c>
      <c r="G47" s="122" t="s">
        <v>313</v>
      </c>
      <c r="H47" s="122" t="s">
        <v>314</v>
      </c>
      <c r="I47" s="122" t="s">
        <v>315</v>
      </c>
      <c r="J47" s="122" t="s">
        <v>316</v>
      </c>
      <c r="K47" s="122" t="s">
        <v>317</v>
      </c>
      <c r="L47" s="122" t="s">
        <v>318</v>
      </c>
      <c r="M47" s="122" t="s">
        <v>319</v>
      </c>
      <c r="N47" s="122" t="s">
        <v>320</v>
      </c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2"/>
      <c r="B48" s="92" t="s">
        <v>321</v>
      </c>
      <c r="C48" s="94" t="s">
        <v>322</v>
      </c>
      <c r="D48" s="102">
        <v>1.0</v>
      </c>
      <c r="E48" s="116">
        <v>380000.0</v>
      </c>
      <c r="F48" s="26">
        <f t="shared" ref="F48:F55" si="1">D48*E48</f>
        <v>380000</v>
      </c>
      <c r="G48" s="123">
        <v>22.0</v>
      </c>
      <c r="H48" s="106">
        <v>0.75</v>
      </c>
      <c r="I48" s="124">
        <f t="shared" ref="I48:I53" si="2">H48*8</f>
        <v>6</v>
      </c>
      <c r="J48" s="44">
        <f>C10</f>
        <v>25</v>
      </c>
      <c r="K48" s="125">
        <f t="shared" ref="K48:K53" si="3">G48*I48*J48*D48</f>
        <v>3300</v>
      </c>
      <c r="L48" s="125">
        <f>K48*C8</f>
        <v>3630</v>
      </c>
      <c r="M48" s="26">
        <f>L48*C5</f>
        <v>10890</v>
      </c>
      <c r="N48" s="95"/>
    </row>
    <row r="49">
      <c r="A49" s="7"/>
      <c r="B49" s="96" t="s">
        <v>323</v>
      </c>
      <c r="C49" s="98" t="s">
        <v>324</v>
      </c>
      <c r="D49" s="101">
        <v>1.0</v>
      </c>
      <c r="E49" s="126">
        <v>520000.0</v>
      </c>
      <c r="F49" s="20">
        <f t="shared" si="1"/>
        <v>520000</v>
      </c>
      <c r="G49" s="127">
        <v>45.0</v>
      </c>
      <c r="H49" s="107">
        <v>0.75</v>
      </c>
      <c r="I49" s="128">
        <f t="shared" si="2"/>
        <v>6</v>
      </c>
      <c r="J49" s="129">
        <f>C10</f>
        <v>25</v>
      </c>
      <c r="K49" s="56">
        <f t="shared" si="3"/>
        <v>6750</v>
      </c>
      <c r="L49" s="56">
        <f>K49*C8</f>
        <v>7425</v>
      </c>
      <c r="M49" s="20">
        <f>L49*C5</f>
        <v>22275</v>
      </c>
      <c r="N49" s="99"/>
    </row>
    <row r="50">
      <c r="A50" s="2"/>
      <c r="B50" s="92" t="s">
        <v>325</v>
      </c>
      <c r="C50" s="94" t="s">
        <v>326</v>
      </c>
      <c r="D50" s="102">
        <v>1.0</v>
      </c>
      <c r="E50" s="116">
        <v>180000.0</v>
      </c>
      <c r="F50" s="26">
        <f t="shared" si="1"/>
        <v>180000</v>
      </c>
      <c r="G50" s="123">
        <v>15.0</v>
      </c>
      <c r="H50" s="106">
        <v>0.75</v>
      </c>
      <c r="I50" s="124">
        <f t="shared" si="2"/>
        <v>6</v>
      </c>
      <c r="J50" s="44">
        <f>C10</f>
        <v>25</v>
      </c>
      <c r="K50" s="125">
        <f t="shared" si="3"/>
        <v>2250</v>
      </c>
      <c r="L50" s="125">
        <f>K50*C8</f>
        <v>2475</v>
      </c>
      <c r="M50" s="26">
        <f>L50*C5</f>
        <v>7425</v>
      </c>
      <c r="N50" s="95"/>
    </row>
    <row r="51">
      <c r="A51" s="7"/>
      <c r="B51" s="96" t="s">
        <v>327</v>
      </c>
      <c r="C51" s="98" t="s">
        <v>328</v>
      </c>
      <c r="D51" s="101">
        <v>2.0</v>
      </c>
      <c r="E51" s="126">
        <v>45000.0</v>
      </c>
      <c r="F51" s="20">
        <f t="shared" si="1"/>
        <v>90000</v>
      </c>
      <c r="G51" s="127">
        <v>1.5</v>
      </c>
      <c r="H51" s="107">
        <v>0.85</v>
      </c>
      <c r="I51" s="128">
        <f t="shared" si="2"/>
        <v>6.8</v>
      </c>
      <c r="J51" s="129">
        <f>C10</f>
        <v>25</v>
      </c>
      <c r="K51" s="56">
        <f t="shared" si="3"/>
        <v>510</v>
      </c>
      <c r="L51" s="56">
        <f>K51*C8</f>
        <v>561</v>
      </c>
      <c r="M51" s="20">
        <f>L51*C5</f>
        <v>1683</v>
      </c>
      <c r="N51" s="99"/>
    </row>
    <row r="52">
      <c r="A52" s="2"/>
      <c r="B52" s="92" t="s">
        <v>329</v>
      </c>
      <c r="C52" s="94" t="s">
        <v>330</v>
      </c>
      <c r="D52" s="102">
        <v>1.0</v>
      </c>
      <c r="E52" s="116">
        <v>850000.0</v>
      </c>
      <c r="F52" s="26">
        <f t="shared" si="1"/>
        <v>850000</v>
      </c>
      <c r="G52" s="123">
        <v>75.0</v>
      </c>
      <c r="H52" s="106">
        <v>0.75</v>
      </c>
      <c r="I52" s="124">
        <f t="shared" si="2"/>
        <v>6</v>
      </c>
      <c r="J52" s="44">
        <f>C10</f>
        <v>25</v>
      </c>
      <c r="K52" s="125">
        <f t="shared" si="3"/>
        <v>11250</v>
      </c>
      <c r="L52" s="125">
        <f>K52*C8</f>
        <v>12375</v>
      </c>
      <c r="M52" s="26">
        <f>L52*C5</f>
        <v>37125</v>
      </c>
      <c r="N52" s="95" t="s">
        <v>331</v>
      </c>
    </row>
    <row r="53">
      <c r="A53" s="7"/>
      <c r="B53" s="96" t="s">
        <v>332</v>
      </c>
      <c r="C53" s="98" t="s">
        <v>333</v>
      </c>
      <c r="D53" s="101">
        <v>1.0</v>
      </c>
      <c r="E53" s="126">
        <v>10000.0</v>
      </c>
      <c r="F53" s="20">
        <f t="shared" si="1"/>
        <v>10000</v>
      </c>
      <c r="G53" s="127">
        <v>0.1</v>
      </c>
      <c r="H53" s="107">
        <v>0.4</v>
      </c>
      <c r="I53" s="128">
        <f t="shared" si="2"/>
        <v>3.2</v>
      </c>
      <c r="J53" s="129">
        <f>C10</f>
        <v>25</v>
      </c>
      <c r="K53" s="56">
        <f t="shared" si="3"/>
        <v>8</v>
      </c>
      <c r="L53" s="56">
        <f>K53*C8</f>
        <v>8.8</v>
      </c>
      <c r="M53" s="20">
        <f>L53*C5</f>
        <v>26.4</v>
      </c>
      <c r="N53" s="99"/>
    </row>
    <row r="54">
      <c r="A54" s="2"/>
      <c r="B54" s="92" t="s">
        <v>334</v>
      </c>
      <c r="C54" s="94" t="s">
        <v>326</v>
      </c>
      <c r="D54" s="102">
        <v>2.0</v>
      </c>
      <c r="E54" s="116">
        <v>8000.0</v>
      </c>
      <c r="F54" s="26">
        <f t="shared" si="1"/>
        <v>16000</v>
      </c>
      <c r="G54" s="123">
        <v>0.0</v>
      </c>
      <c r="H54" s="130"/>
      <c r="I54" s="130"/>
      <c r="J54" s="130"/>
      <c r="K54" s="44">
        <v>0.0</v>
      </c>
      <c r="L54" s="125">
        <f>K54*C8</f>
        <v>0</v>
      </c>
      <c r="M54" s="26">
        <f>L54*C5</f>
        <v>0</v>
      </c>
      <c r="N54" s="95" t="s">
        <v>335</v>
      </c>
    </row>
    <row r="55">
      <c r="A55" s="7"/>
      <c r="B55" s="96" t="s">
        <v>336</v>
      </c>
      <c r="C55" s="98" t="s">
        <v>337</v>
      </c>
      <c r="D55" s="101">
        <v>1.0</v>
      </c>
      <c r="E55" s="126">
        <v>25000.0</v>
      </c>
      <c r="F55" s="20">
        <f t="shared" si="1"/>
        <v>25000</v>
      </c>
      <c r="G55" s="127">
        <v>0.0</v>
      </c>
      <c r="H55" s="131"/>
      <c r="I55" s="131"/>
      <c r="J55" s="131"/>
      <c r="K55" s="129">
        <v>0.0</v>
      </c>
      <c r="L55" s="56">
        <f>K55*C8</f>
        <v>0</v>
      </c>
      <c r="M55" s="20">
        <f>L55*C5</f>
        <v>0</v>
      </c>
      <c r="N55" s="99"/>
    </row>
    <row r="56" ht="18.75" customHeight="1">
      <c r="A56" s="132"/>
      <c r="B56" s="133" t="s">
        <v>338</v>
      </c>
      <c r="C56" s="134"/>
      <c r="D56" s="134"/>
      <c r="E56" s="134"/>
      <c r="F56" s="135">
        <f>SUM(F48:F55)</f>
        <v>2071000</v>
      </c>
      <c r="G56" s="134"/>
      <c r="H56" s="134"/>
      <c r="I56" s="134"/>
      <c r="J56" s="134"/>
      <c r="K56" s="136">
        <f t="shared" ref="K56:M56" si="4">SUM(K48:K55)</f>
        <v>24068</v>
      </c>
      <c r="L56" s="136">
        <f t="shared" si="4"/>
        <v>26474.8</v>
      </c>
      <c r="M56" s="135">
        <f t="shared" si="4"/>
        <v>79424.4</v>
      </c>
      <c r="N56" s="134"/>
    </row>
    <row r="57">
      <c r="A57" s="7"/>
      <c r="B57" s="13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</row>
    <row r="58" ht="18.75" customHeight="1">
      <c r="A58" s="138"/>
      <c r="B58" s="139" t="s">
        <v>339</v>
      </c>
      <c r="C58" s="4"/>
      <c r="D58" s="4"/>
      <c r="E58" s="4"/>
      <c r="F58" s="5"/>
      <c r="G58" s="140"/>
      <c r="H58" s="140"/>
      <c r="I58" s="140"/>
      <c r="J58" s="140"/>
      <c r="K58" s="140"/>
      <c r="L58" s="140"/>
      <c r="M58" s="140"/>
      <c r="N58" s="140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>
      <c r="A59" s="53"/>
      <c r="B59" s="141" t="s">
        <v>340</v>
      </c>
      <c r="C59" s="54" t="s">
        <v>341</v>
      </c>
      <c r="D59" s="54"/>
      <c r="E59" s="54"/>
      <c r="F59" s="54"/>
      <c r="G59" s="142"/>
      <c r="H59" s="142"/>
      <c r="I59" s="142"/>
      <c r="J59" s="142"/>
      <c r="K59" s="142"/>
      <c r="L59" s="142"/>
      <c r="M59" s="142"/>
      <c r="N59" s="142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>
      <c r="A60" s="2"/>
      <c r="B60" s="92" t="s">
        <v>342</v>
      </c>
      <c r="C60" s="26">
        <f>F56</f>
        <v>2071000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>
      <c r="A61" s="7"/>
      <c r="B61" s="96" t="s">
        <v>343</v>
      </c>
      <c r="C61" s="126">
        <v>200000.0</v>
      </c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</row>
    <row r="62">
      <c r="A62" s="2"/>
      <c r="B62" s="92" t="s">
        <v>344</v>
      </c>
      <c r="C62" s="116">
        <v>55000.0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>
      <c r="A63" s="7"/>
      <c r="B63" s="96" t="s">
        <v>345</v>
      </c>
      <c r="C63" s="20">
        <f>(C79-C68)*2</f>
        <v>1514994.822</v>
      </c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</row>
    <row r="64" ht="18.75" customHeight="1">
      <c r="A64" s="132"/>
      <c r="B64" s="133" t="s">
        <v>346</v>
      </c>
      <c r="C64" s="135">
        <f>SUM(C60:C63)</f>
        <v>3840994.822</v>
      </c>
      <c r="D64" s="132"/>
      <c r="E64" s="132"/>
      <c r="F64" s="132"/>
      <c r="G64" s="132"/>
      <c r="H64" s="132"/>
      <c r="I64" s="132"/>
      <c r="J64" s="132"/>
      <c r="K64" s="132"/>
      <c r="L64" s="132"/>
      <c r="M64" s="132"/>
      <c r="N64" s="132"/>
    </row>
    <row r="65">
      <c r="A65" s="7"/>
      <c r="B65" s="13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</row>
    <row r="66">
      <c r="A66" s="53"/>
      <c r="B66" s="139" t="s">
        <v>347</v>
      </c>
      <c r="C66" s="4"/>
      <c r="D66" s="4"/>
      <c r="E66" s="4"/>
      <c r="F66" s="5"/>
      <c r="G66" s="140"/>
      <c r="H66" s="140"/>
      <c r="I66" s="140"/>
      <c r="J66" s="140"/>
      <c r="K66" s="140"/>
      <c r="L66" s="140"/>
      <c r="M66" s="140"/>
      <c r="N66" s="140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>
      <c r="A67" s="53"/>
      <c r="B67" s="141" t="s">
        <v>340</v>
      </c>
      <c r="C67" s="55" t="s">
        <v>348</v>
      </c>
      <c r="D67" s="55" t="s">
        <v>349</v>
      </c>
      <c r="E67" s="55" t="s">
        <v>350</v>
      </c>
      <c r="F67" s="54"/>
      <c r="G67" s="142"/>
      <c r="H67" s="142"/>
      <c r="I67" s="142"/>
      <c r="J67" s="142"/>
      <c r="K67" s="142"/>
      <c r="L67" s="142"/>
      <c r="M67" s="142"/>
      <c r="N67" s="142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>
      <c r="A68" s="2"/>
      <c r="B68" s="114" t="s">
        <v>351</v>
      </c>
      <c r="C68" s="26">
        <f>C34*C36*(1-C11)*C40*1000</f>
        <v>2694384</v>
      </c>
      <c r="D68" s="2">
        <f>C34*C35*(1-C11)*C40*1000</f>
        <v>2020788</v>
      </c>
      <c r="E68" s="2">
        <f>C34*C37*(1-C11)*C40*1000</f>
        <v>5388768</v>
      </c>
      <c r="F68" s="2"/>
      <c r="G68" s="2"/>
      <c r="H68" s="2"/>
      <c r="I68" s="2"/>
      <c r="J68" s="2"/>
      <c r="K68" s="2"/>
      <c r="L68" s="2"/>
      <c r="M68" s="2"/>
      <c r="N68" s="2"/>
    </row>
    <row r="69">
      <c r="A69" s="7"/>
      <c r="B69" s="96" t="s">
        <v>352</v>
      </c>
      <c r="C69" s="20">
        <f>C41*C12</f>
        <v>19500</v>
      </c>
      <c r="D69" s="63">
        <f>C69</f>
        <v>19500</v>
      </c>
      <c r="E69" s="63">
        <f>C69</f>
        <v>19500</v>
      </c>
      <c r="F69" s="7"/>
      <c r="G69" s="7"/>
      <c r="H69" s="7"/>
      <c r="I69" s="7"/>
      <c r="J69" s="7"/>
      <c r="K69" s="7"/>
      <c r="L69" s="7"/>
      <c r="M69" s="7"/>
      <c r="N69" s="7"/>
    </row>
    <row r="70">
      <c r="A70" s="2"/>
      <c r="B70" s="92" t="s">
        <v>353</v>
      </c>
      <c r="C70" s="26">
        <f>M56</f>
        <v>79424.4</v>
      </c>
      <c r="D70" s="2">
        <f>C70*($C$35/$C$36)</f>
        <v>59568.3</v>
      </c>
      <c r="E70" s="2">
        <f>C70*($C$37/$C$36)</f>
        <v>158848.8</v>
      </c>
      <c r="F70" s="2">
        <f>C70*($C$37/$C$36)</f>
        <v>158848.8</v>
      </c>
      <c r="G70" s="2"/>
      <c r="H70" s="2"/>
      <c r="I70" s="2"/>
      <c r="J70" s="2"/>
      <c r="K70" s="2"/>
      <c r="L70" s="2"/>
      <c r="M70" s="2"/>
      <c r="N70" s="2"/>
    </row>
    <row r="71">
      <c r="A71" s="7"/>
      <c r="B71" s="96" t="s">
        <v>354</v>
      </c>
      <c r="C71" s="20">
        <f>C42</f>
        <v>116775</v>
      </c>
      <c r="D71" s="63">
        <f>C71</f>
        <v>116775</v>
      </c>
      <c r="E71" s="63">
        <f>C71</f>
        <v>116775</v>
      </c>
      <c r="F71" s="7"/>
      <c r="G71" s="7"/>
      <c r="H71" s="7"/>
      <c r="I71" s="7"/>
      <c r="J71" s="7"/>
      <c r="K71" s="7"/>
      <c r="L71" s="7"/>
      <c r="M71" s="7"/>
      <c r="N71" s="7"/>
    </row>
    <row r="72">
      <c r="A72" s="2"/>
      <c r="B72" s="92" t="s">
        <v>355</v>
      </c>
      <c r="C72" s="116">
        <f>$C$44</f>
        <v>15000</v>
      </c>
      <c r="D72" s="2">
        <f>C72*($C$35/$C$36)</f>
        <v>11250</v>
      </c>
      <c r="E72" s="2">
        <f>C72*($C$37/$C$36)</f>
        <v>30000</v>
      </c>
      <c r="F72" s="2">
        <f>C72*($C$37/$C$36)</f>
        <v>30000</v>
      </c>
      <c r="G72" s="2"/>
      <c r="H72" s="2"/>
      <c r="I72" s="2"/>
      <c r="J72" s="2"/>
      <c r="K72" s="2"/>
      <c r="L72" s="2"/>
      <c r="M72" s="2"/>
      <c r="N72" s="2"/>
    </row>
    <row r="73">
      <c r="A73" s="7"/>
      <c r="B73" s="143" t="s">
        <v>356</v>
      </c>
      <c r="C73" s="20">
        <f>C60*0.025/12</f>
        <v>4314.583333</v>
      </c>
      <c r="D73" s="63">
        <f>C73</f>
        <v>4314.583333</v>
      </c>
      <c r="E73" s="63">
        <f>C73</f>
        <v>4314.583333</v>
      </c>
      <c r="F73" s="7"/>
      <c r="G73" s="7"/>
      <c r="H73" s="7"/>
      <c r="I73" s="7"/>
      <c r="J73" s="7"/>
      <c r="K73" s="7"/>
      <c r="L73" s="7"/>
      <c r="M73" s="7"/>
      <c r="N73" s="7"/>
    </row>
    <row r="74">
      <c r="A74" s="2"/>
      <c r="B74" s="92" t="s">
        <v>357</v>
      </c>
      <c r="C74" s="26">
        <f>E94*0.03</f>
        <v>128448.6336</v>
      </c>
      <c r="D74" s="2">
        <f t="shared" ref="D74:D75" si="5">C74*($C$35/$C$36)</f>
        <v>96336.4752</v>
      </c>
      <c r="E74" s="2">
        <f t="shared" ref="E74:E75" si="6">C74*($C$37/$C$36)</f>
        <v>256897.2672</v>
      </c>
      <c r="F74" s="2">
        <f t="shared" ref="F74:F75" si="7">C74*($C$37/$C$36)</f>
        <v>256897.2672</v>
      </c>
      <c r="G74" s="2"/>
      <c r="H74" s="2"/>
      <c r="I74" s="2"/>
      <c r="J74" s="2"/>
      <c r="K74" s="2"/>
      <c r="L74" s="2"/>
      <c r="M74" s="2"/>
      <c r="N74" s="2"/>
    </row>
    <row r="75">
      <c r="A75" s="7"/>
      <c r="B75" s="96" t="s">
        <v>358</v>
      </c>
      <c r="C75" s="126">
        <f>$C$45</f>
        <v>4500</v>
      </c>
      <c r="D75" s="7">
        <f t="shared" si="5"/>
        <v>3375</v>
      </c>
      <c r="E75" s="7">
        <f t="shared" si="6"/>
        <v>9000</v>
      </c>
      <c r="F75" s="7">
        <f t="shared" si="7"/>
        <v>9000</v>
      </c>
      <c r="G75" s="7"/>
      <c r="H75" s="7"/>
      <c r="I75" s="7"/>
      <c r="J75" s="7"/>
      <c r="K75" s="7"/>
      <c r="L75" s="7"/>
      <c r="M75" s="7"/>
      <c r="N75" s="7"/>
    </row>
    <row r="76">
      <c r="A76" s="2"/>
      <c r="B76" s="92" t="s">
        <v>359</v>
      </c>
      <c r="C76" s="26">
        <f>(C60+C61)*0.005/12</f>
        <v>946.25</v>
      </c>
      <c r="D76" s="62">
        <f>C76</f>
        <v>946.25</v>
      </c>
      <c r="E76" s="62">
        <f>C76</f>
        <v>946.25</v>
      </c>
      <c r="F76" s="2"/>
      <c r="G76" s="2"/>
      <c r="H76" s="2"/>
      <c r="I76" s="2"/>
      <c r="J76" s="2"/>
      <c r="K76" s="2"/>
      <c r="L76" s="2"/>
      <c r="M76" s="2"/>
      <c r="N76" s="2"/>
    </row>
    <row r="77">
      <c r="A77" s="35"/>
      <c r="B77" s="144" t="s">
        <v>360</v>
      </c>
      <c r="C77" s="34">
        <f>E92*8/100</f>
        <v>380588.544</v>
      </c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</row>
    <row r="78">
      <c r="A78" s="23"/>
      <c r="B78" s="145" t="s">
        <v>361</v>
      </c>
      <c r="C78" s="146">
        <v>8000.0</v>
      </c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</row>
    <row r="79" ht="18.75" customHeight="1">
      <c r="A79" s="132"/>
      <c r="B79" s="133" t="s">
        <v>362</v>
      </c>
      <c r="C79" s="135">
        <f>SUM(C68:C78)</f>
        <v>3451881.411</v>
      </c>
      <c r="D79" s="132">
        <f t="shared" ref="D79:E79" si="8">SUM(D68:D76)</f>
        <v>2332853.609</v>
      </c>
      <c r="E79" s="132">
        <f t="shared" si="8"/>
        <v>5985049.901</v>
      </c>
      <c r="F79" s="132"/>
      <c r="G79" s="132"/>
      <c r="H79" s="132"/>
      <c r="I79" s="132"/>
      <c r="J79" s="132"/>
      <c r="K79" s="132"/>
      <c r="L79" s="132"/>
      <c r="M79" s="132"/>
      <c r="N79" s="132"/>
    </row>
    <row r="80">
      <c r="A80" s="23"/>
      <c r="B80" s="147"/>
      <c r="C80" s="148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</row>
    <row r="81">
      <c r="A81" s="7"/>
      <c r="B81" s="149" t="s">
        <v>363</v>
      </c>
      <c r="I81" s="7"/>
      <c r="J81" s="7"/>
      <c r="K81" s="7"/>
      <c r="L81" s="7"/>
      <c r="M81" s="7"/>
      <c r="N81" s="7"/>
    </row>
    <row r="82">
      <c r="A82" s="2"/>
      <c r="B82" s="11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>
      <c r="A83" s="53"/>
      <c r="B83" s="139" t="s">
        <v>364</v>
      </c>
      <c r="C83" s="4"/>
      <c r="D83" s="4"/>
      <c r="E83" s="4"/>
      <c r="F83" s="4"/>
      <c r="G83" s="4"/>
      <c r="H83" s="5"/>
      <c r="I83" s="140"/>
      <c r="J83" s="140"/>
      <c r="K83" s="140"/>
      <c r="L83" s="140"/>
      <c r="M83" s="140"/>
      <c r="N83" s="140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>
      <c r="A84" s="53"/>
      <c r="B84" s="141" t="s">
        <v>340</v>
      </c>
      <c r="C84" s="54" t="s">
        <v>235</v>
      </c>
      <c r="D84" s="54" t="s">
        <v>349</v>
      </c>
      <c r="E84" s="54" t="s">
        <v>365</v>
      </c>
      <c r="F84" s="54" t="s">
        <v>350</v>
      </c>
      <c r="G84" s="54"/>
      <c r="H84" s="54"/>
      <c r="I84" s="142"/>
      <c r="J84" s="142"/>
      <c r="K84" s="142"/>
      <c r="L84" s="142"/>
      <c r="M84" s="142"/>
      <c r="N84" s="142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>
      <c r="A85" s="7"/>
      <c r="B85" s="143" t="s">
        <v>366</v>
      </c>
      <c r="C85" s="98" t="s">
        <v>283</v>
      </c>
      <c r="D85" s="129">
        <f>C34*0.3</f>
        <v>408.24</v>
      </c>
      <c r="E85" s="129">
        <f>C34*0.4</f>
        <v>544.32</v>
      </c>
      <c r="F85" s="129">
        <f>C34*0.8</f>
        <v>1088.64</v>
      </c>
      <c r="G85" s="7"/>
      <c r="H85" s="7"/>
      <c r="I85" s="7"/>
      <c r="J85" s="7"/>
      <c r="K85" s="7"/>
      <c r="L85" s="7"/>
      <c r="M85" s="7"/>
      <c r="N85" s="7"/>
    </row>
    <row r="86">
      <c r="A86" s="2"/>
      <c r="B86" s="92" t="s">
        <v>367</v>
      </c>
      <c r="C86" s="94" t="s">
        <v>283</v>
      </c>
      <c r="D86" s="125">
        <f>D85*C35</f>
        <v>122.472</v>
      </c>
      <c r="E86" s="125">
        <f>E85*C36</f>
        <v>217.728</v>
      </c>
      <c r="F86" s="125">
        <f>F85*C37</f>
        <v>870.912</v>
      </c>
      <c r="G86" s="2"/>
      <c r="H86" s="150" t="s">
        <v>368</v>
      </c>
      <c r="L86" s="2"/>
      <c r="M86" s="2"/>
      <c r="N86" s="2"/>
    </row>
    <row r="87">
      <c r="A87" s="7"/>
      <c r="B87" s="96" t="s">
        <v>369</v>
      </c>
      <c r="C87" s="98" t="s">
        <v>243</v>
      </c>
      <c r="D87" s="151">
        <f>C39</f>
        <v>16</v>
      </c>
      <c r="E87" s="151">
        <f>C39</f>
        <v>16</v>
      </c>
      <c r="F87" s="151">
        <f>C39</f>
        <v>16</v>
      </c>
      <c r="G87" s="7"/>
      <c r="L87" s="7"/>
      <c r="M87" s="7"/>
      <c r="N87" s="7"/>
    </row>
    <row r="88">
      <c r="A88" s="2"/>
      <c r="B88" s="152" t="s">
        <v>370</v>
      </c>
      <c r="C88" s="94" t="s">
        <v>299</v>
      </c>
      <c r="D88" s="22">
        <f>D86*1000*C38*D87</f>
        <v>1665619.2</v>
      </c>
      <c r="E88" s="22">
        <f>E86*1000*C38*E87</f>
        <v>2961100.8</v>
      </c>
      <c r="F88" s="22">
        <f>F86*1000*C38*F87</f>
        <v>11844403.2</v>
      </c>
      <c r="G88" s="2"/>
      <c r="L88" s="2"/>
      <c r="M88" s="2"/>
      <c r="N88" s="2"/>
    </row>
    <row r="89">
      <c r="A89" s="7"/>
      <c r="B89" s="96" t="s">
        <v>371</v>
      </c>
      <c r="C89" s="98" t="s">
        <v>283</v>
      </c>
      <c r="D89" s="56">
        <f>D85*(1-C35)</f>
        <v>285.768</v>
      </c>
      <c r="E89" s="56">
        <f>E85*(1-C36)</f>
        <v>326.592</v>
      </c>
      <c r="F89" s="56">
        <f>F85*(1-C37)</f>
        <v>217.728</v>
      </c>
      <c r="G89" s="7"/>
      <c r="L89" s="7"/>
      <c r="M89" s="7"/>
      <c r="N89" s="7"/>
    </row>
    <row r="90">
      <c r="A90" s="2"/>
      <c r="B90" s="92" t="s">
        <v>372</v>
      </c>
      <c r="C90" s="94" t="s">
        <v>243</v>
      </c>
      <c r="D90" s="153">
        <f>C40</f>
        <v>5.5</v>
      </c>
      <c r="E90" s="153">
        <f>C40</f>
        <v>5.5</v>
      </c>
      <c r="F90" s="153">
        <f>C40</f>
        <v>5.5</v>
      </c>
      <c r="G90" s="2"/>
      <c r="L90" s="2"/>
      <c r="M90" s="2"/>
      <c r="N90" s="2"/>
    </row>
    <row r="91">
      <c r="A91" s="7"/>
      <c r="B91" s="96" t="s">
        <v>373</v>
      </c>
      <c r="C91" s="98" t="s">
        <v>299</v>
      </c>
      <c r="D91" s="20">
        <f t="shared" ref="D91:F91" si="9">D89*1000*D90</f>
        <v>1571724</v>
      </c>
      <c r="E91" s="20">
        <f t="shared" si="9"/>
        <v>1796256</v>
      </c>
      <c r="F91" s="20">
        <f t="shared" si="9"/>
        <v>1197504</v>
      </c>
      <c r="G91" s="7"/>
      <c r="L91" s="7"/>
      <c r="M91" s="7"/>
      <c r="N91" s="7"/>
    </row>
    <row r="92" ht="18.75" customHeight="1">
      <c r="A92" s="132"/>
      <c r="B92" s="133" t="s">
        <v>374</v>
      </c>
      <c r="C92" s="154" t="s">
        <v>299</v>
      </c>
      <c r="D92" s="135">
        <f t="shared" ref="D92:F92" si="10">D88+D91</f>
        <v>3237343.2</v>
      </c>
      <c r="E92" s="135">
        <f t="shared" si="10"/>
        <v>4757356.8</v>
      </c>
      <c r="F92" s="135">
        <f t="shared" si="10"/>
        <v>13041907.2</v>
      </c>
      <c r="G92" s="132"/>
      <c r="H92" s="132"/>
      <c r="I92" s="132"/>
      <c r="J92" s="132"/>
      <c r="K92" s="132"/>
      <c r="L92" s="132"/>
      <c r="M92" s="132"/>
      <c r="N92" s="132"/>
    </row>
    <row r="93">
      <c r="A93" s="7"/>
      <c r="B93" s="96" t="s">
        <v>375</v>
      </c>
      <c r="C93" s="98" t="s">
        <v>299</v>
      </c>
      <c r="D93" s="20">
        <f>-D92*C11</f>
        <v>-323734.32</v>
      </c>
      <c r="E93" s="20">
        <f>-E92*C11</f>
        <v>-475735.68</v>
      </c>
      <c r="F93" s="20">
        <f>-F92*C11</f>
        <v>-1304190.72</v>
      </c>
      <c r="G93" s="7"/>
      <c r="H93" s="7"/>
      <c r="I93" s="7"/>
      <c r="J93" s="7"/>
      <c r="K93" s="7"/>
      <c r="L93" s="7"/>
      <c r="M93" s="7"/>
      <c r="N93" s="7"/>
    </row>
    <row r="94" ht="18.75" customHeight="1">
      <c r="A94" s="132"/>
      <c r="B94" s="133" t="s">
        <v>376</v>
      </c>
      <c r="C94" s="154" t="s">
        <v>299</v>
      </c>
      <c r="D94" s="135">
        <f t="shared" ref="D94:F94" si="11">D92+D93</f>
        <v>2913608.88</v>
      </c>
      <c r="E94" s="135">
        <f t="shared" si="11"/>
        <v>4281621.12</v>
      </c>
      <c r="F94" s="135">
        <f t="shared" si="11"/>
        <v>11737716.48</v>
      </c>
      <c r="G94" s="132"/>
      <c r="H94" s="132"/>
      <c r="I94" s="132"/>
      <c r="J94" s="132"/>
      <c r="K94" s="132"/>
      <c r="L94" s="132"/>
      <c r="M94" s="132"/>
      <c r="N94" s="132"/>
    </row>
    <row r="95">
      <c r="A95" s="7"/>
      <c r="B95" s="149" t="s">
        <v>377</v>
      </c>
      <c r="I95" s="7"/>
      <c r="J95" s="7"/>
      <c r="K95" s="7"/>
      <c r="L95" s="7"/>
      <c r="M95" s="7"/>
      <c r="N95" s="7"/>
    </row>
    <row r="96">
      <c r="A96" s="2"/>
      <c r="B96" s="11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>
      <c r="A97" s="155"/>
      <c r="B97" s="156" t="s">
        <v>378</v>
      </c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5"/>
      <c r="O97" s="155"/>
      <c r="P97" s="155"/>
      <c r="Q97" s="155"/>
      <c r="R97" s="155"/>
      <c r="S97" s="155"/>
      <c r="T97" s="155"/>
      <c r="U97" s="155"/>
      <c r="V97" s="155"/>
      <c r="W97" s="155"/>
      <c r="X97" s="155"/>
      <c r="Y97" s="155"/>
      <c r="Z97" s="155"/>
    </row>
    <row r="98">
      <c r="A98" s="155"/>
      <c r="B98" s="156" t="s">
        <v>379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5"/>
      <c r="O98" s="155"/>
      <c r="P98" s="155"/>
      <c r="Q98" s="155"/>
      <c r="R98" s="155"/>
      <c r="S98" s="155"/>
      <c r="T98" s="155"/>
      <c r="U98" s="155"/>
      <c r="V98" s="155"/>
      <c r="W98" s="155"/>
      <c r="X98" s="155"/>
      <c r="Y98" s="155"/>
      <c r="Z98" s="155"/>
    </row>
    <row r="99">
      <c r="A99" s="155"/>
      <c r="B99" s="157" t="s">
        <v>340</v>
      </c>
      <c r="C99" s="158" t="s">
        <v>380</v>
      </c>
      <c r="D99" s="158" t="s">
        <v>381</v>
      </c>
      <c r="E99" s="158" t="s">
        <v>382</v>
      </c>
      <c r="F99" s="158" t="s">
        <v>383</v>
      </c>
      <c r="G99" s="158" t="s">
        <v>384</v>
      </c>
      <c r="H99" s="158" t="s">
        <v>385</v>
      </c>
      <c r="I99" s="158" t="s">
        <v>386</v>
      </c>
      <c r="J99" s="158" t="s">
        <v>387</v>
      </c>
      <c r="K99" s="158" t="s">
        <v>388</v>
      </c>
      <c r="L99" s="158" t="s">
        <v>389</v>
      </c>
      <c r="M99" s="159"/>
      <c r="N99" s="159"/>
      <c r="O99" s="155"/>
      <c r="P99" s="155"/>
      <c r="Q99" s="155"/>
      <c r="R99" s="155"/>
      <c r="S99" s="155"/>
      <c r="T99" s="155"/>
      <c r="U99" s="155"/>
      <c r="V99" s="155"/>
      <c r="W99" s="155"/>
      <c r="X99" s="155"/>
      <c r="Y99" s="155"/>
      <c r="Z99" s="155"/>
    </row>
    <row r="100">
      <c r="A100" s="2"/>
      <c r="B100" s="92" t="s">
        <v>390</v>
      </c>
      <c r="C100" s="26">
        <f>D92*12*C22</f>
        <v>19424059.2</v>
      </c>
      <c r="D100" s="26">
        <f>D92*12*C23</f>
        <v>29136088.8</v>
      </c>
      <c r="E100" s="26">
        <f>D92*12*C24</f>
        <v>38848118.4</v>
      </c>
      <c r="F100" s="26">
        <f>D92*12*C24</f>
        <v>38848118.4</v>
      </c>
      <c r="G100" s="26">
        <f>D92*12*C24</f>
        <v>38848118.4</v>
      </c>
      <c r="H100" s="26">
        <f>D92*12*C24</f>
        <v>38848118.4</v>
      </c>
      <c r="I100" s="26">
        <f>D92*12*C24</f>
        <v>38848118.4</v>
      </c>
      <c r="J100" s="26">
        <f>D92*12*C24</f>
        <v>38848118.4</v>
      </c>
      <c r="K100" s="26">
        <f>D92*12*C24</f>
        <v>38848118.4</v>
      </c>
      <c r="L100" s="26">
        <f>D92*12*C24</f>
        <v>38848118.4</v>
      </c>
      <c r="M100" s="2"/>
      <c r="N100" s="2"/>
    </row>
    <row r="101">
      <c r="A101" s="7"/>
      <c r="B101" s="96" t="s">
        <v>375</v>
      </c>
      <c r="C101" s="20">
        <f>-C100*C11</f>
        <v>-1942405.92</v>
      </c>
      <c r="D101" s="20">
        <f>-D100*C11</f>
        <v>-2913608.88</v>
      </c>
      <c r="E101" s="20">
        <f>-E100*C11</f>
        <v>-3884811.84</v>
      </c>
      <c r="F101" s="20">
        <f>-F100*C11</f>
        <v>-3884811.84</v>
      </c>
      <c r="G101" s="20">
        <f>-G100*C11</f>
        <v>-3884811.84</v>
      </c>
      <c r="H101" s="20">
        <f>-H100*C11</f>
        <v>-3884811.84</v>
      </c>
      <c r="I101" s="20">
        <f>-I100*C11</f>
        <v>-3884811.84</v>
      </c>
      <c r="J101" s="20">
        <f>-J100*C11</f>
        <v>-3884811.84</v>
      </c>
      <c r="K101" s="20">
        <f>-K100*C11</f>
        <v>-3884811.84</v>
      </c>
      <c r="L101" s="20">
        <f>-L100*C11</f>
        <v>-3884811.84</v>
      </c>
      <c r="M101" s="7"/>
      <c r="N101" s="7"/>
    </row>
    <row r="102">
      <c r="A102" s="2"/>
      <c r="B102" s="152" t="s">
        <v>391</v>
      </c>
      <c r="C102" s="22">
        <f t="shared" ref="C102:L102" si="12">C100+C101</f>
        <v>17481653.28</v>
      </c>
      <c r="D102" s="22">
        <f t="shared" si="12"/>
        <v>26222479.92</v>
      </c>
      <c r="E102" s="22">
        <f t="shared" si="12"/>
        <v>34963306.56</v>
      </c>
      <c r="F102" s="22">
        <f t="shared" si="12"/>
        <v>34963306.56</v>
      </c>
      <c r="G102" s="22">
        <f t="shared" si="12"/>
        <v>34963306.56</v>
      </c>
      <c r="H102" s="22">
        <f t="shared" si="12"/>
        <v>34963306.56</v>
      </c>
      <c r="I102" s="22">
        <f t="shared" si="12"/>
        <v>34963306.56</v>
      </c>
      <c r="J102" s="22">
        <f t="shared" si="12"/>
        <v>34963306.56</v>
      </c>
      <c r="K102" s="22">
        <f t="shared" si="12"/>
        <v>34963306.56</v>
      </c>
      <c r="L102" s="22">
        <f t="shared" si="12"/>
        <v>34963306.56</v>
      </c>
      <c r="M102" s="23"/>
      <c r="N102" s="23"/>
    </row>
    <row r="103">
      <c r="A103" s="7"/>
      <c r="B103" s="96" t="s">
        <v>392</v>
      </c>
      <c r="C103" s="20">
        <f>-D79*12*C22</f>
        <v>-13997121.65</v>
      </c>
      <c r="D103" s="20">
        <f>-D79*12*C23</f>
        <v>-20995682.48</v>
      </c>
      <c r="E103" s="20">
        <f>-D79*12*C24</f>
        <v>-27994243.3</v>
      </c>
      <c r="F103" s="20">
        <f t="shared" ref="F103:K103" si="13">-$D$79*12*$C$24</f>
        <v>-27994243.3</v>
      </c>
      <c r="G103" s="20">
        <f t="shared" si="13"/>
        <v>-27994243.3</v>
      </c>
      <c r="H103" s="20">
        <f t="shared" si="13"/>
        <v>-27994243.3</v>
      </c>
      <c r="I103" s="20">
        <f t="shared" si="13"/>
        <v>-27994243.3</v>
      </c>
      <c r="J103" s="20">
        <f t="shared" si="13"/>
        <v>-27994243.3</v>
      </c>
      <c r="K103" s="20">
        <f t="shared" si="13"/>
        <v>-27994243.3</v>
      </c>
      <c r="L103" s="20">
        <f>-C79*12*C24</f>
        <v>-41422576.93</v>
      </c>
      <c r="M103" s="7"/>
      <c r="N103" s="7"/>
    </row>
    <row r="104" ht="18.75" customHeight="1">
      <c r="A104" s="160"/>
      <c r="B104" s="161" t="s">
        <v>393</v>
      </c>
      <c r="C104" s="162">
        <f t="shared" ref="C104:L104" si="14">C102+C103</f>
        <v>3484531.629</v>
      </c>
      <c r="D104" s="162">
        <f t="shared" si="14"/>
        <v>5226797.443</v>
      </c>
      <c r="E104" s="162">
        <f t="shared" si="14"/>
        <v>6969063.258</v>
      </c>
      <c r="F104" s="162">
        <f t="shared" si="14"/>
        <v>6969063.258</v>
      </c>
      <c r="G104" s="162">
        <f t="shared" si="14"/>
        <v>6969063.258</v>
      </c>
      <c r="H104" s="162">
        <f t="shared" si="14"/>
        <v>6969063.258</v>
      </c>
      <c r="I104" s="162">
        <f t="shared" si="14"/>
        <v>6969063.258</v>
      </c>
      <c r="J104" s="162">
        <f t="shared" si="14"/>
        <v>6969063.258</v>
      </c>
      <c r="K104" s="162">
        <f t="shared" si="14"/>
        <v>6969063.258</v>
      </c>
      <c r="L104" s="162">
        <f t="shared" si="14"/>
        <v>-6459270.371</v>
      </c>
      <c r="M104" s="160"/>
      <c r="N104" s="160"/>
    </row>
    <row r="105">
      <c r="A105" s="7"/>
      <c r="B105" s="96" t="s">
        <v>394</v>
      </c>
      <c r="C105" s="24">
        <f t="shared" ref="C105:L105" si="15">IF(C102=0,0,C104/C102)</f>
        <v>0.1993250623</v>
      </c>
      <c r="D105" s="24">
        <f t="shared" si="15"/>
        <v>0.1993250623</v>
      </c>
      <c r="E105" s="24">
        <f t="shared" si="15"/>
        <v>0.1993250623</v>
      </c>
      <c r="F105" s="24">
        <f t="shared" si="15"/>
        <v>0.1993250623</v>
      </c>
      <c r="G105" s="24">
        <f t="shared" si="15"/>
        <v>0.1993250623</v>
      </c>
      <c r="H105" s="24">
        <f t="shared" si="15"/>
        <v>0.1993250623</v>
      </c>
      <c r="I105" s="24">
        <f t="shared" si="15"/>
        <v>0.1993250623</v>
      </c>
      <c r="J105" s="24">
        <f t="shared" si="15"/>
        <v>0.1993250623</v>
      </c>
      <c r="K105" s="24">
        <f t="shared" si="15"/>
        <v>0.1993250623</v>
      </c>
      <c r="L105" s="24">
        <f t="shared" si="15"/>
        <v>-0.184744265</v>
      </c>
      <c r="M105" s="7"/>
      <c r="N105" s="7"/>
    </row>
    <row r="106">
      <c r="A106" s="2"/>
      <c r="B106" s="92" t="s">
        <v>395</v>
      </c>
      <c r="C106" s="26">
        <f>-(C60/C18+C61/20)</f>
        <v>-217100</v>
      </c>
      <c r="D106" s="26">
        <f>-(C60/C18+C61/20)</f>
        <v>-217100</v>
      </c>
      <c r="E106" s="26">
        <f>-(C60/C18+C61/20)</f>
        <v>-217100</v>
      </c>
      <c r="F106" s="26">
        <f>-(C60/C18+C61/20)</f>
        <v>-217100</v>
      </c>
      <c r="G106" s="26">
        <f>-(C60/C18+C61/20)</f>
        <v>-217100</v>
      </c>
      <c r="H106" s="26">
        <f>-(C60/C18+C61/20)</f>
        <v>-217100</v>
      </c>
      <c r="I106" s="26">
        <f>-(C60/C18+C61/20)</f>
        <v>-217100</v>
      </c>
      <c r="J106" s="26">
        <f>-(C60/C18+C61/20)</f>
        <v>-217100</v>
      </c>
      <c r="K106" s="26">
        <f>-(C60/C18+C61/20)</f>
        <v>-217100</v>
      </c>
      <c r="L106" s="26">
        <f>-(C60/C18+C61/20)</f>
        <v>-217100</v>
      </c>
      <c r="M106" s="2"/>
      <c r="N106" s="2"/>
    </row>
    <row r="107">
      <c r="A107" s="7"/>
      <c r="B107" s="163" t="s">
        <v>396</v>
      </c>
      <c r="C107" s="34">
        <f t="shared" ref="C107:L107" si="16">C104+C106</f>
        <v>3267431.629</v>
      </c>
      <c r="D107" s="34">
        <f t="shared" si="16"/>
        <v>5009697.443</v>
      </c>
      <c r="E107" s="34">
        <f t="shared" si="16"/>
        <v>6751963.258</v>
      </c>
      <c r="F107" s="34">
        <f t="shared" si="16"/>
        <v>6751963.258</v>
      </c>
      <c r="G107" s="34">
        <f t="shared" si="16"/>
        <v>6751963.258</v>
      </c>
      <c r="H107" s="34">
        <f t="shared" si="16"/>
        <v>6751963.258</v>
      </c>
      <c r="I107" s="34">
        <f t="shared" si="16"/>
        <v>6751963.258</v>
      </c>
      <c r="J107" s="34">
        <f t="shared" si="16"/>
        <v>6751963.258</v>
      </c>
      <c r="K107" s="34">
        <f t="shared" si="16"/>
        <v>6751963.258</v>
      </c>
      <c r="L107" s="34">
        <f t="shared" si="16"/>
        <v>-6676370.371</v>
      </c>
      <c r="M107" s="35"/>
      <c r="N107" s="35"/>
    </row>
    <row r="108">
      <c r="A108" s="2"/>
      <c r="B108" s="92" t="s">
        <v>397</v>
      </c>
      <c r="C108" s="26">
        <f t="shared" ref="C108:L108" si="17">-D168</f>
        <v>-311120.5806</v>
      </c>
      <c r="D108" s="26">
        <f t="shared" si="17"/>
        <v>-259267.1505</v>
      </c>
      <c r="E108" s="26">
        <f t="shared" si="17"/>
        <v>-207413.7204</v>
      </c>
      <c r="F108" s="26">
        <f t="shared" si="17"/>
        <v>-155560.2903</v>
      </c>
      <c r="G108" s="26">
        <f t="shared" si="17"/>
        <v>-103706.8602</v>
      </c>
      <c r="H108" s="26">
        <f t="shared" si="17"/>
        <v>-51853.4301</v>
      </c>
      <c r="I108" s="26">
        <f t="shared" si="17"/>
        <v>0</v>
      </c>
      <c r="J108" s="26">
        <f t="shared" si="17"/>
        <v>0</v>
      </c>
      <c r="K108" s="26">
        <f t="shared" si="17"/>
        <v>0</v>
      </c>
      <c r="L108" s="26">
        <f t="shared" si="17"/>
        <v>0</v>
      </c>
      <c r="M108" s="2"/>
      <c r="N108" s="2"/>
    </row>
    <row r="109">
      <c r="A109" s="7"/>
      <c r="B109" s="96" t="s">
        <v>398</v>
      </c>
      <c r="C109" s="20">
        <f t="shared" ref="C109:L109" si="18">C107+C108</f>
        <v>2956311.048</v>
      </c>
      <c r="D109" s="20">
        <f t="shared" si="18"/>
        <v>4750430.293</v>
      </c>
      <c r="E109" s="20">
        <f t="shared" si="18"/>
        <v>6544549.537</v>
      </c>
      <c r="F109" s="20">
        <f t="shared" si="18"/>
        <v>6596402.967</v>
      </c>
      <c r="G109" s="20">
        <f t="shared" si="18"/>
        <v>6648256.397</v>
      </c>
      <c r="H109" s="20">
        <f t="shared" si="18"/>
        <v>6700109.828</v>
      </c>
      <c r="I109" s="20">
        <f t="shared" si="18"/>
        <v>6751963.258</v>
      </c>
      <c r="J109" s="20">
        <f t="shared" si="18"/>
        <v>6751963.258</v>
      </c>
      <c r="K109" s="20">
        <f t="shared" si="18"/>
        <v>6751963.258</v>
      </c>
      <c r="L109" s="20">
        <f t="shared" si="18"/>
        <v>-6676370.371</v>
      </c>
      <c r="M109" s="7"/>
      <c r="N109" s="7"/>
    </row>
    <row r="110">
      <c r="A110" s="2"/>
      <c r="B110" s="92" t="s">
        <v>399</v>
      </c>
      <c r="C110" s="26">
        <f>-MAX(0,C109)*C15</f>
        <v>-886893.3145</v>
      </c>
      <c r="D110" s="26">
        <f>-MAX(0,D109)*C15</f>
        <v>-1425129.088</v>
      </c>
      <c r="E110" s="26">
        <f>-MAX(0,E109)*C15</f>
        <v>-1963364.861</v>
      </c>
      <c r="F110" s="26">
        <f>-MAX(0,F109)*C15</f>
        <v>-1978920.89</v>
      </c>
      <c r="G110" s="26">
        <f>-MAX(0,G109)*C15</f>
        <v>-1994476.919</v>
      </c>
      <c r="H110" s="26">
        <f>-MAX(0,H109)*C15</f>
        <v>-2010032.948</v>
      </c>
      <c r="I110" s="26">
        <f>-MAX(0,I109)*C15</f>
        <v>-2025588.977</v>
      </c>
      <c r="J110" s="26">
        <f>-MAX(0,J109)*C15</f>
        <v>-2025588.977</v>
      </c>
      <c r="K110" s="26">
        <f>-MAX(0,K109)*C15</f>
        <v>-2025588.977</v>
      </c>
      <c r="L110" s="26">
        <f>-MAX(0,L109)*C15</f>
        <v>0</v>
      </c>
      <c r="M110" s="2"/>
      <c r="N110" s="2"/>
    </row>
    <row r="111">
      <c r="A111" s="7"/>
      <c r="B111" s="96" t="s">
        <v>400</v>
      </c>
      <c r="C111" s="20">
        <f>-MAX(0,C109)*C16</f>
        <v>-295631.1048</v>
      </c>
      <c r="D111" s="20">
        <f>-MAX(0,D109)*C16</f>
        <v>-475043.0293</v>
      </c>
      <c r="E111" s="20">
        <f>-MAX(0,E109)*C16</f>
        <v>-654454.9537</v>
      </c>
      <c r="F111" s="20">
        <f>-MAX(0,F109)*C16</f>
        <v>-659640.2967</v>
      </c>
      <c r="G111" s="20">
        <f>-MAX(0,G109)*C16</f>
        <v>-664825.6397</v>
      </c>
      <c r="H111" s="20">
        <f>-MAX(0,H109)*C16</f>
        <v>-670010.9828</v>
      </c>
      <c r="I111" s="20">
        <f>-MAX(0,I109)*C16</f>
        <v>-675196.3258</v>
      </c>
      <c r="J111" s="20">
        <f>-MAX(0,J109)*C16</f>
        <v>-675196.3258</v>
      </c>
      <c r="K111" s="20">
        <f>-MAX(0,K109)*C16</f>
        <v>-675196.3258</v>
      </c>
      <c r="L111" s="20">
        <f>-MAX(0,L109)*C16</f>
        <v>0</v>
      </c>
      <c r="M111" s="7"/>
      <c r="N111" s="7"/>
    </row>
    <row r="112" ht="18.75" customHeight="1">
      <c r="A112" s="160"/>
      <c r="B112" s="161" t="s">
        <v>401</v>
      </c>
      <c r="C112" s="162">
        <f t="shared" ref="C112:L112" si="19">C109+C110+C111</f>
        <v>1773786.629</v>
      </c>
      <c r="D112" s="162">
        <f t="shared" si="19"/>
        <v>2850258.176</v>
      </c>
      <c r="E112" s="162">
        <f t="shared" si="19"/>
        <v>3926729.722</v>
      </c>
      <c r="F112" s="162">
        <f t="shared" si="19"/>
        <v>3957841.78</v>
      </c>
      <c r="G112" s="162">
        <f t="shared" si="19"/>
        <v>3988953.838</v>
      </c>
      <c r="H112" s="162">
        <f t="shared" si="19"/>
        <v>4020065.897</v>
      </c>
      <c r="I112" s="162">
        <f t="shared" si="19"/>
        <v>4051177.955</v>
      </c>
      <c r="J112" s="162">
        <f t="shared" si="19"/>
        <v>4051177.955</v>
      </c>
      <c r="K112" s="162">
        <f t="shared" si="19"/>
        <v>4051177.955</v>
      </c>
      <c r="L112" s="162">
        <f t="shared" si="19"/>
        <v>-6676370.371</v>
      </c>
      <c r="M112" s="160"/>
      <c r="N112" s="160"/>
    </row>
    <row r="113">
      <c r="A113" s="7"/>
      <c r="B113" s="96" t="s">
        <v>402</v>
      </c>
      <c r="C113" s="20">
        <f>-MAX(0,C112)*C17</f>
        <v>-88689.33145</v>
      </c>
      <c r="D113" s="20">
        <f>-MAX(0,D112)*C17</f>
        <v>-142512.9088</v>
      </c>
      <c r="E113" s="20">
        <f>-MAX(0,E112)*C17</f>
        <v>-196336.4861</v>
      </c>
      <c r="F113" s="20">
        <f>-MAX(0,F112)*C17</f>
        <v>-197892.089</v>
      </c>
      <c r="G113" s="20">
        <f>-MAX(0,G112)*C17</f>
        <v>-199447.6919</v>
      </c>
      <c r="H113" s="20">
        <f>-MAX(0,H112)*C17</f>
        <v>-201003.2948</v>
      </c>
      <c r="I113" s="20">
        <f>-MAX(0,I112)*C17</f>
        <v>-202558.8977</v>
      </c>
      <c r="J113" s="20">
        <f>-MAX(0,J112)*C17</f>
        <v>-202558.8977</v>
      </c>
      <c r="K113" s="20">
        <f>-MAX(0,K112)*C17</f>
        <v>-202558.8977</v>
      </c>
      <c r="L113" s="20">
        <f>-MAX(0,L112)*C17</f>
        <v>0</v>
      </c>
      <c r="M113" s="7"/>
      <c r="N113" s="7"/>
    </row>
    <row r="114" ht="18.75" customHeight="1">
      <c r="A114" s="160"/>
      <c r="B114" s="161" t="s">
        <v>403</v>
      </c>
      <c r="C114" s="162">
        <f t="shared" ref="C114:L114" si="20">C112+C113</f>
        <v>1685097.297</v>
      </c>
      <c r="D114" s="162">
        <f t="shared" si="20"/>
        <v>2707745.267</v>
      </c>
      <c r="E114" s="162">
        <f t="shared" si="20"/>
        <v>3730393.236</v>
      </c>
      <c r="F114" s="162">
        <f t="shared" si="20"/>
        <v>3759949.691</v>
      </c>
      <c r="G114" s="162">
        <f t="shared" si="20"/>
        <v>3789506.147</v>
      </c>
      <c r="H114" s="162">
        <f t="shared" si="20"/>
        <v>3819062.602</v>
      </c>
      <c r="I114" s="162">
        <f t="shared" si="20"/>
        <v>3848619.057</v>
      </c>
      <c r="J114" s="162">
        <f t="shared" si="20"/>
        <v>3848619.057</v>
      </c>
      <c r="K114" s="162">
        <f t="shared" si="20"/>
        <v>3848619.057</v>
      </c>
      <c r="L114" s="162">
        <f t="shared" si="20"/>
        <v>-6676370.371</v>
      </c>
      <c r="M114" s="160"/>
      <c r="N114" s="160"/>
    </row>
    <row r="115">
      <c r="A115" s="7"/>
      <c r="B115" s="13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</row>
    <row r="116">
      <c r="A116" s="53"/>
      <c r="B116" s="139" t="s">
        <v>404</v>
      </c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5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>
      <c r="A117" s="53"/>
      <c r="B117" s="141" t="s">
        <v>340</v>
      </c>
      <c r="C117" s="54" t="s">
        <v>380</v>
      </c>
      <c r="D117" s="54" t="s">
        <v>381</v>
      </c>
      <c r="E117" s="54" t="s">
        <v>382</v>
      </c>
      <c r="F117" s="54" t="s">
        <v>383</v>
      </c>
      <c r="G117" s="54" t="s">
        <v>384</v>
      </c>
      <c r="H117" s="54" t="s">
        <v>385</v>
      </c>
      <c r="I117" s="54" t="s">
        <v>386</v>
      </c>
      <c r="J117" s="54" t="s">
        <v>387</v>
      </c>
      <c r="K117" s="54" t="s">
        <v>388</v>
      </c>
      <c r="L117" s="54" t="s">
        <v>389</v>
      </c>
      <c r="M117" s="142"/>
      <c r="N117" s="142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>
      <c r="A118" s="2"/>
      <c r="B118" s="92" t="s">
        <v>390</v>
      </c>
      <c r="C118" s="26">
        <f>E92*12*C22</f>
        <v>28544140.8</v>
      </c>
      <c r="D118" s="26">
        <f>E92*12*C23</f>
        <v>42816211.2</v>
      </c>
      <c r="E118" s="26">
        <f>E92*12*C24</f>
        <v>57088281.6</v>
      </c>
      <c r="F118" s="26">
        <f>E92*12*C24</f>
        <v>57088281.6</v>
      </c>
      <c r="G118" s="26">
        <f>E92*12*C24</f>
        <v>57088281.6</v>
      </c>
      <c r="H118" s="26">
        <f>E92*12*C24</f>
        <v>57088281.6</v>
      </c>
      <c r="I118" s="26">
        <f>E92*12*C24</f>
        <v>57088281.6</v>
      </c>
      <c r="J118" s="26">
        <f>E92*12*C24</f>
        <v>57088281.6</v>
      </c>
      <c r="K118" s="26">
        <f>E92*12*C24</f>
        <v>57088281.6</v>
      </c>
      <c r="L118" s="26">
        <f>E92*12*C24</f>
        <v>57088281.6</v>
      </c>
      <c r="M118" s="2"/>
      <c r="N118" s="2"/>
    </row>
    <row r="119">
      <c r="A119" s="7"/>
      <c r="B119" s="96" t="s">
        <v>375</v>
      </c>
      <c r="C119" s="20">
        <f>-C118*C11</f>
        <v>-2854414.08</v>
      </c>
      <c r="D119" s="20">
        <f>-D118*C11</f>
        <v>-4281621.12</v>
      </c>
      <c r="E119" s="20">
        <f>-E118*C11</f>
        <v>-5708828.16</v>
      </c>
      <c r="F119" s="20">
        <f>-F118*C11</f>
        <v>-5708828.16</v>
      </c>
      <c r="G119" s="20">
        <f>-G118*C11</f>
        <v>-5708828.16</v>
      </c>
      <c r="H119" s="20">
        <f>-H118*C11</f>
        <v>-5708828.16</v>
      </c>
      <c r="I119" s="20">
        <f>-I118*C11</f>
        <v>-5708828.16</v>
      </c>
      <c r="J119" s="20">
        <f>-J118*C11</f>
        <v>-5708828.16</v>
      </c>
      <c r="K119" s="20">
        <f>-K118*C11</f>
        <v>-5708828.16</v>
      </c>
      <c r="L119" s="20">
        <f>-L118*C11</f>
        <v>-5708828.16</v>
      </c>
      <c r="M119" s="7"/>
      <c r="N119" s="7"/>
    </row>
    <row r="120">
      <c r="A120" s="2"/>
      <c r="B120" s="152" t="s">
        <v>391</v>
      </c>
      <c r="C120" s="22">
        <f t="shared" ref="C120:L120" si="21">C118+C119</f>
        <v>25689726.72</v>
      </c>
      <c r="D120" s="22">
        <f t="shared" si="21"/>
        <v>38534590.08</v>
      </c>
      <c r="E120" s="22">
        <f t="shared" si="21"/>
        <v>51379453.44</v>
      </c>
      <c r="F120" s="22">
        <f t="shared" si="21"/>
        <v>51379453.44</v>
      </c>
      <c r="G120" s="22">
        <f t="shared" si="21"/>
        <v>51379453.44</v>
      </c>
      <c r="H120" s="22">
        <f t="shared" si="21"/>
        <v>51379453.44</v>
      </c>
      <c r="I120" s="22">
        <f t="shared" si="21"/>
        <v>51379453.44</v>
      </c>
      <c r="J120" s="22">
        <f t="shared" si="21"/>
        <v>51379453.44</v>
      </c>
      <c r="K120" s="22">
        <f t="shared" si="21"/>
        <v>51379453.44</v>
      </c>
      <c r="L120" s="22">
        <f t="shared" si="21"/>
        <v>51379453.44</v>
      </c>
      <c r="M120" s="23"/>
      <c r="N120" s="23"/>
    </row>
    <row r="121">
      <c r="A121" s="7"/>
      <c r="B121" s="96" t="s">
        <v>392</v>
      </c>
      <c r="C121" s="20">
        <f>-$C$79*12*$C$22</f>
        <v>-20711288.47</v>
      </c>
      <c r="D121" s="20">
        <f>-$C$79*12*$C$23</f>
        <v>-31066932.7</v>
      </c>
      <c r="E121" s="20">
        <f t="shared" ref="E121:L121" si="22">-$C$79*12*$C$24</f>
        <v>-41422576.93</v>
      </c>
      <c r="F121" s="20">
        <f t="shared" si="22"/>
        <v>-41422576.93</v>
      </c>
      <c r="G121" s="20">
        <f t="shared" si="22"/>
        <v>-41422576.93</v>
      </c>
      <c r="H121" s="20">
        <f t="shared" si="22"/>
        <v>-41422576.93</v>
      </c>
      <c r="I121" s="20">
        <f t="shared" si="22"/>
        <v>-41422576.93</v>
      </c>
      <c r="J121" s="20">
        <f t="shared" si="22"/>
        <v>-41422576.93</v>
      </c>
      <c r="K121" s="20">
        <f t="shared" si="22"/>
        <v>-41422576.93</v>
      </c>
      <c r="L121" s="20">
        <f t="shared" si="22"/>
        <v>-41422576.93</v>
      </c>
      <c r="M121" s="7"/>
      <c r="N121" s="7"/>
    </row>
    <row r="122" ht="18.75" customHeight="1">
      <c r="A122" s="160"/>
      <c r="B122" s="161" t="s">
        <v>393</v>
      </c>
      <c r="C122" s="162">
        <f t="shared" ref="C122:L122" si="23">C120+C121</f>
        <v>4978438.254</v>
      </c>
      <c r="D122" s="162">
        <f t="shared" si="23"/>
        <v>7467657.382</v>
      </c>
      <c r="E122" s="162">
        <f t="shared" si="23"/>
        <v>9956876.509</v>
      </c>
      <c r="F122" s="162">
        <f t="shared" si="23"/>
        <v>9956876.509</v>
      </c>
      <c r="G122" s="162">
        <f t="shared" si="23"/>
        <v>9956876.509</v>
      </c>
      <c r="H122" s="162">
        <f t="shared" si="23"/>
        <v>9956876.509</v>
      </c>
      <c r="I122" s="162">
        <f t="shared" si="23"/>
        <v>9956876.509</v>
      </c>
      <c r="J122" s="162">
        <f t="shared" si="23"/>
        <v>9956876.509</v>
      </c>
      <c r="K122" s="162">
        <f t="shared" si="23"/>
        <v>9956876.509</v>
      </c>
      <c r="L122" s="162">
        <f t="shared" si="23"/>
        <v>9956876.509</v>
      </c>
      <c r="M122" s="160"/>
      <c r="N122" s="160"/>
    </row>
    <row r="123">
      <c r="A123" s="7"/>
      <c r="B123" s="96" t="s">
        <v>394</v>
      </c>
      <c r="C123" s="24">
        <f t="shared" ref="C123:L123" si="24">IF(C120=0,0,C122/C120)</f>
        <v>0.1937910165</v>
      </c>
      <c r="D123" s="24">
        <f t="shared" si="24"/>
        <v>0.1937910165</v>
      </c>
      <c r="E123" s="24">
        <f t="shared" si="24"/>
        <v>0.1937910165</v>
      </c>
      <c r="F123" s="24">
        <f t="shared" si="24"/>
        <v>0.1937910165</v>
      </c>
      <c r="G123" s="24">
        <f t="shared" si="24"/>
        <v>0.1937910165</v>
      </c>
      <c r="H123" s="24">
        <f t="shared" si="24"/>
        <v>0.1937910165</v>
      </c>
      <c r="I123" s="24">
        <f t="shared" si="24"/>
        <v>0.1937910165</v>
      </c>
      <c r="J123" s="24">
        <f t="shared" si="24"/>
        <v>0.1937910165</v>
      </c>
      <c r="K123" s="24">
        <f t="shared" si="24"/>
        <v>0.1937910165</v>
      </c>
      <c r="L123" s="24">
        <f t="shared" si="24"/>
        <v>0.1937910165</v>
      </c>
      <c r="M123" s="7"/>
      <c r="N123" s="7"/>
    </row>
    <row r="124">
      <c r="A124" s="2"/>
      <c r="B124" s="92" t="s">
        <v>395</v>
      </c>
      <c r="C124" s="26">
        <f>-(C60/C18+C61/20)</f>
        <v>-217100</v>
      </c>
      <c r="D124" s="26">
        <f>-(C60/C18+C61/20)</f>
        <v>-217100</v>
      </c>
      <c r="E124" s="26">
        <f>-(C60/C18+C61/20)</f>
        <v>-217100</v>
      </c>
      <c r="F124" s="26">
        <f>-(C60/C18+C61/20)</f>
        <v>-217100</v>
      </c>
      <c r="G124" s="26">
        <f>-(C60/C18+C61/20)</f>
        <v>-217100</v>
      </c>
      <c r="H124" s="26">
        <f>-(C60/C18+C61/20)</f>
        <v>-217100</v>
      </c>
      <c r="I124" s="26">
        <f>-(C60/C18+C61/20)</f>
        <v>-217100</v>
      </c>
      <c r="J124" s="26">
        <f>-(C60/C18+C61/20)</f>
        <v>-217100</v>
      </c>
      <c r="K124" s="26">
        <f>-(C60/C18+C61/20)</f>
        <v>-217100</v>
      </c>
      <c r="L124" s="26">
        <f>-(C60/C18+C61/20)</f>
        <v>-217100</v>
      </c>
      <c r="M124" s="2"/>
      <c r="N124" s="2"/>
    </row>
    <row r="125">
      <c r="A125" s="7"/>
      <c r="B125" s="163" t="s">
        <v>396</v>
      </c>
      <c r="C125" s="34">
        <f t="shared" ref="C125:L125" si="25">C122+C124</f>
        <v>4761338.254</v>
      </c>
      <c r="D125" s="34">
        <f t="shared" si="25"/>
        <v>7250557.382</v>
      </c>
      <c r="E125" s="34">
        <f t="shared" si="25"/>
        <v>9739776.509</v>
      </c>
      <c r="F125" s="34">
        <f t="shared" si="25"/>
        <v>9739776.509</v>
      </c>
      <c r="G125" s="34">
        <f t="shared" si="25"/>
        <v>9739776.509</v>
      </c>
      <c r="H125" s="34">
        <f t="shared" si="25"/>
        <v>9739776.509</v>
      </c>
      <c r="I125" s="34">
        <f t="shared" si="25"/>
        <v>9739776.509</v>
      </c>
      <c r="J125" s="34">
        <f t="shared" si="25"/>
        <v>9739776.509</v>
      </c>
      <c r="K125" s="34">
        <f t="shared" si="25"/>
        <v>9739776.509</v>
      </c>
      <c r="L125" s="34">
        <f t="shared" si="25"/>
        <v>9739776.509</v>
      </c>
      <c r="M125" s="35"/>
      <c r="N125" s="35"/>
    </row>
    <row r="126">
      <c r="A126" s="2"/>
      <c r="B126" s="92" t="s">
        <v>397</v>
      </c>
      <c r="C126" s="26">
        <f t="shared" ref="C126:L126" si="26">-D182</f>
        <v>-311120.5806</v>
      </c>
      <c r="D126" s="26">
        <f t="shared" si="26"/>
        <v>-259267.1505</v>
      </c>
      <c r="E126" s="26">
        <f t="shared" si="26"/>
        <v>-207413.7204</v>
      </c>
      <c r="F126" s="26">
        <f t="shared" si="26"/>
        <v>-155560.2903</v>
      </c>
      <c r="G126" s="26">
        <f t="shared" si="26"/>
        <v>-103706.8602</v>
      </c>
      <c r="H126" s="26">
        <f t="shared" si="26"/>
        <v>-51853.4301</v>
      </c>
      <c r="I126" s="26">
        <f t="shared" si="26"/>
        <v>0</v>
      </c>
      <c r="J126" s="26">
        <f t="shared" si="26"/>
        <v>0</v>
      </c>
      <c r="K126" s="26">
        <f t="shared" si="26"/>
        <v>0</v>
      </c>
      <c r="L126" s="26">
        <f t="shared" si="26"/>
        <v>0</v>
      </c>
      <c r="M126" s="2"/>
      <c r="N126" s="2"/>
    </row>
    <row r="127">
      <c r="A127" s="7"/>
      <c r="B127" s="96" t="s">
        <v>398</v>
      </c>
      <c r="C127" s="20">
        <f t="shared" ref="C127:L127" si="27">C125+C126</f>
        <v>4450217.674</v>
      </c>
      <c r="D127" s="20">
        <f t="shared" si="27"/>
        <v>6991290.231</v>
      </c>
      <c r="E127" s="20">
        <f t="shared" si="27"/>
        <v>9532362.788</v>
      </c>
      <c r="F127" s="20">
        <f t="shared" si="27"/>
        <v>9584216.219</v>
      </c>
      <c r="G127" s="20">
        <f t="shared" si="27"/>
        <v>9636069.649</v>
      </c>
      <c r="H127" s="20">
        <f t="shared" si="27"/>
        <v>9687923.079</v>
      </c>
      <c r="I127" s="20">
        <f t="shared" si="27"/>
        <v>9739776.509</v>
      </c>
      <c r="J127" s="20">
        <f t="shared" si="27"/>
        <v>9739776.509</v>
      </c>
      <c r="K127" s="20">
        <f t="shared" si="27"/>
        <v>9739776.509</v>
      </c>
      <c r="L127" s="20">
        <f t="shared" si="27"/>
        <v>9739776.509</v>
      </c>
      <c r="M127" s="7"/>
      <c r="N127" s="7"/>
    </row>
    <row r="128">
      <c r="A128" s="2"/>
      <c r="B128" s="92" t="s">
        <v>399</v>
      </c>
      <c r="C128" s="26">
        <f>-MAX(0,C127)*C15</f>
        <v>-1335065.302</v>
      </c>
      <c r="D128" s="26">
        <f>-MAX(0,D127)*C15</f>
        <v>-2097387.069</v>
      </c>
      <c r="E128" s="26">
        <f>-MAX(0,E127)*C15</f>
        <v>-2859708.837</v>
      </c>
      <c r="F128" s="26">
        <f>-MAX(0,F127)*C15</f>
        <v>-2875264.866</v>
      </c>
      <c r="G128" s="26">
        <f>-MAX(0,G127)*C15</f>
        <v>-2890820.895</v>
      </c>
      <c r="H128" s="26">
        <f>-MAX(0,H127)*C15</f>
        <v>-2906376.924</v>
      </c>
      <c r="I128" s="26">
        <f>-MAX(0,I127)*C15</f>
        <v>-2921932.953</v>
      </c>
      <c r="J128" s="26">
        <f>-MAX(0,J127)*C15</f>
        <v>-2921932.953</v>
      </c>
      <c r="K128" s="26">
        <f>-MAX(0,K127)*C15</f>
        <v>-2921932.953</v>
      </c>
      <c r="L128" s="26">
        <f>-MAX(0,L127)*C15</f>
        <v>-2921932.953</v>
      </c>
      <c r="M128" s="2"/>
      <c r="N128" s="2"/>
    </row>
    <row r="129">
      <c r="A129" s="7"/>
      <c r="B129" s="96" t="s">
        <v>400</v>
      </c>
      <c r="C129" s="20">
        <f>-MAX(0,C127)*C16</f>
        <v>-445021.7674</v>
      </c>
      <c r="D129" s="20">
        <f>-MAX(0,D127)*C16</f>
        <v>-699129.0231</v>
      </c>
      <c r="E129" s="20">
        <f>-MAX(0,E127)*C16</f>
        <v>-953236.2788</v>
      </c>
      <c r="F129" s="20">
        <f>-MAX(0,F127)*C16</f>
        <v>-958421.6219</v>
      </c>
      <c r="G129" s="20">
        <f>-MAX(0,G127)*C16</f>
        <v>-963606.9649</v>
      </c>
      <c r="H129" s="20">
        <f>-MAX(0,H127)*C16</f>
        <v>-968792.3079</v>
      </c>
      <c r="I129" s="20">
        <f>-MAX(0,I127)*C16</f>
        <v>-973977.6509</v>
      </c>
      <c r="J129" s="20">
        <f>-MAX(0,J127)*C16</f>
        <v>-973977.6509</v>
      </c>
      <c r="K129" s="20">
        <f>-MAX(0,K127)*C16</f>
        <v>-973977.6509</v>
      </c>
      <c r="L129" s="20">
        <f>-MAX(0,L127)*C16</f>
        <v>-973977.6509</v>
      </c>
      <c r="M129" s="7"/>
      <c r="N129" s="7"/>
    </row>
    <row r="130" ht="18.75" customHeight="1">
      <c r="A130" s="160"/>
      <c r="B130" s="161" t="s">
        <v>401</v>
      </c>
      <c r="C130" s="162">
        <f t="shared" ref="C130:L130" si="28">C127+C128+C129</f>
        <v>2670130.604</v>
      </c>
      <c r="D130" s="162">
        <f t="shared" si="28"/>
        <v>4194774.139</v>
      </c>
      <c r="E130" s="162">
        <f t="shared" si="28"/>
        <v>5719417.673</v>
      </c>
      <c r="F130" s="162">
        <f t="shared" si="28"/>
        <v>5750529.731</v>
      </c>
      <c r="G130" s="162">
        <f t="shared" si="28"/>
        <v>5781641.789</v>
      </c>
      <c r="H130" s="162">
        <f t="shared" si="28"/>
        <v>5812753.847</v>
      </c>
      <c r="I130" s="162">
        <f t="shared" si="28"/>
        <v>5843865.905</v>
      </c>
      <c r="J130" s="162">
        <f t="shared" si="28"/>
        <v>5843865.905</v>
      </c>
      <c r="K130" s="162">
        <f t="shared" si="28"/>
        <v>5843865.905</v>
      </c>
      <c r="L130" s="162">
        <f t="shared" si="28"/>
        <v>5843865.905</v>
      </c>
      <c r="M130" s="160"/>
      <c r="N130" s="160"/>
    </row>
    <row r="131">
      <c r="A131" s="7"/>
      <c r="B131" s="96" t="s">
        <v>402</v>
      </c>
      <c r="C131" s="20">
        <f>-MAX(0,C130)*C17</f>
        <v>-133506.5302</v>
      </c>
      <c r="D131" s="20">
        <f>-MAX(0,D130)*C17</f>
        <v>-209738.7069</v>
      </c>
      <c r="E131" s="20">
        <f>-MAX(0,E130)*C17</f>
        <v>-285970.8837</v>
      </c>
      <c r="F131" s="20">
        <f>-MAX(0,F130)*C17</f>
        <v>-287526.4866</v>
      </c>
      <c r="G131" s="20">
        <f>-MAX(0,G130)*C17</f>
        <v>-289082.0895</v>
      </c>
      <c r="H131" s="20">
        <f>-MAX(0,H130)*C17</f>
        <v>-290637.6924</v>
      </c>
      <c r="I131" s="20">
        <f>-MAX(0,I130)*C17</f>
        <v>-292193.2953</v>
      </c>
      <c r="J131" s="20">
        <f>-MAX(0,J130)*C17</f>
        <v>-292193.2953</v>
      </c>
      <c r="K131" s="20">
        <f>-MAX(0,K130)*C17</f>
        <v>-292193.2953</v>
      </c>
      <c r="L131" s="20">
        <f>-MAX(0,L130)*C17</f>
        <v>-292193.2953</v>
      </c>
      <c r="M131" s="7"/>
      <c r="N131" s="7"/>
    </row>
    <row r="132" ht="18.75" customHeight="1">
      <c r="A132" s="160"/>
      <c r="B132" s="161" t="s">
        <v>403</v>
      </c>
      <c r="C132" s="162">
        <f t="shared" ref="C132:L132" si="29">C130+C131</f>
        <v>2536624.074</v>
      </c>
      <c r="D132" s="162">
        <f t="shared" si="29"/>
        <v>3985035.432</v>
      </c>
      <c r="E132" s="162">
        <f t="shared" si="29"/>
        <v>5433446.789</v>
      </c>
      <c r="F132" s="162">
        <f t="shared" si="29"/>
        <v>5463003.245</v>
      </c>
      <c r="G132" s="162">
        <f t="shared" si="29"/>
        <v>5492559.7</v>
      </c>
      <c r="H132" s="162">
        <f t="shared" si="29"/>
        <v>5522116.155</v>
      </c>
      <c r="I132" s="162">
        <f t="shared" si="29"/>
        <v>5551672.61</v>
      </c>
      <c r="J132" s="162">
        <f t="shared" si="29"/>
        <v>5551672.61</v>
      </c>
      <c r="K132" s="162">
        <f t="shared" si="29"/>
        <v>5551672.61</v>
      </c>
      <c r="L132" s="162">
        <f t="shared" si="29"/>
        <v>5551672.61</v>
      </c>
      <c r="M132" s="160"/>
      <c r="N132" s="160"/>
    </row>
    <row r="133">
      <c r="A133" s="7"/>
      <c r="B133" s="13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</row>
    <row r="134">
      <c r="A134" s="53"/>
      <c r="B134" s="139" t="s">
        <v>405</v>
      </c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5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>
      <c r="A135" s="53"/>
      <c r="B135" s="141" t="s">
        <v>340</v>
      </c>
      <c r="C135" s="54" t="s">
        <v>380</v>
      </c>
      <c r="D135" s="54" t="s">
        <v>381</v>
      </c>
      <c r="E135" s="54" t="s">
        <v>382</v>
      </c>
      <c r="F135" s="54" t="s">
        <v>383</v>
      </c>
      <c r="G135" s="54" t="s">
        <v>384</v>
      </c>
      <c r="H135" s="54" t="s">
        <v>385</v>
      </c>
      <c r="I135" s="54" t="s">
        <v>386</v>
      </c>
      <c r="J135" s="54" t="s">
        <v>387</v>
      </c>
      <c r="K135" s="54" t="s">
        <v>388</v>
      </c>
      <c r="L135" s="54" t="s">
        <v>389</v>
      </c>
      <c r="M135" s="142"/>
      <c r="N135" s="142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>
      <c r="A136" s="2"/>
      <c r="B136" s="92" t="s">
        <v>390</v>
      </c>
      <c r="C136" s="26">
        <f>F92*12*C22</f>
        <v>78251443.2</v>
      </c>
      <c r="D136" s="26">
        <f>F92*12*C23</f>
        <v>117377164.8</v>
      </c>
      <c r="E136" s="26">
        <f>F92*12*C24</f>
        <v>156502886.4</v>
      </c>
      <c r="F136" s="26">
        <f>F92*12*C24</f>
        <v>156502886.4</v>
      </c>
      <c r="G136" s="26">
        <f>F92*12*C24</f>
        <v>156502886.4</v>
      </c>
      <c r="H136" s="26">
        <f>F92*12*C24</f>
        <v>156502886.4</v>
      </c>
      <c r="I136" s="26">
        <f>F92*12*C24</f>
        <v>156502886.4</v>
      </c>
      <c r="J136" s="26">
        <f>F92*12*C24</f>
        <v>156502886.4</v>
      </c>
      <c r="K136" s="26">
        <f>F92*12*C24</f>
        <v>156502886.4</v>
      </c>
      <c r="L136" s="26">
        <f>F92*12*C24</f>
        <v>156502886.4</v>
      </c>
      <c r="M136" s="2"/>
      <c r="N136" s="2"/>
    </row>
    <row r="137">
      <c r="A137" s="7"/>
      <c r="B137" s="96" t="s">
        <v>375</v>
      </c>
      <c r="C137" s="20">
        <f>-C136*C11</f>
        <v>-7825144.32</v>
      </c>
      <c r="D137" s="20">
        <f>-D136*C11</f>
        <v>-11737716.48</v>
      </c>
      <c r="E137" s="20">
        <f>-E136*C11</f>
        <v>-15650288.64</v>
      </c>
      <c r="F137" s="20">
        <f>-F136*C11</f>
        <v>-15650288.64</v>
      </c>
      <c r="G137" s="20">
        <f>-G136*C11</f>
        <v>-15650288.64</v>
      </c>
      <c r="H137" s="20">
        <f>-H136*C11</f>
        <v>-15650288.64</v>
      </c>
      <c r="I137" s="20">
        <f>-I136*C11</f>
        <v>-15650288.64</v>
      </c>
      <c r="J137" s="20">
        <f>-J136*C11</f>
        <v>-15650288.64</v>
      </c>
      <c r="K137" s="20">
        <f>-K136*C11</f>
        <v>-15650288.64</v>
      </c>
      <c r="L137" s="20">
        <f>-L136*C11</f>
        <v>-15650288.64</v>
      </c>
      <c r="M137" s="7"/>
      <c r="N137" s="7"/>
    </row>
    <row r="138">
      <c r="A138" s="2"/>
      <c r="B138" s="152" t="s">
        <v>391</v>
      </c>
      <c r="C138" s="22">
        <f t="shared" ref="C138:L138" si="30">C136+C137</f>
        <v>70426298.88</v>
      </c>
      <c r="D138" s="22">
        <f t="shared" si="30"/>
        <v>105639448.3</v>
      </c>
      <c r="E138" s="22">
        <f t="shared" si="30"/>
        <v>140852597.8</v>
      </c>
      <c r="F138" s="22">
        <f t="shared" si="30"/>
        <v>140852597.8</v>
      </c>
      <c r="G138" s="22">
        <f t="shared" si="30"/>
        <v>140852597.8</v>
      </c>
      <c r="H138" s="22">
        <f t="shared" si="30"/>
        <v>140852597.8</v>
      </c>
      <c r="I138" s="22">
        <f t="shared" si="30"/>
        <v>140852597.8</v>
      </c>
      <c r="J138" s="22">
        <f t="shared" si="30"/>
        <v>140852597.8</v>
      </c>
      <c r="K138" s="22">
        <f t="shared" si="30"/>
        <v>140852597.8</v>
      </c>
      <c r="L138" s="22">
        <f t="shared" si="30"/>
        <v>140852597.8</v>
      </c>
      <c r="M138" s="23"/>
      <c r="N138" s="23"/>
    </row>
    <row r="139">
      <c r="A139" s="7"/>
      <c r="B139" s="96" t="s">
        <v>392</v>
      </c>
      <c r="C139" s="20">
        <f>-$E$79*12*$C$22</f>
        <v>-35910299.4</v>
      </c>
      <c r="D139" s="20">
        <f>-$E$79*12*$C$23</f>
        <v>-53865449.1</v>
      </c>
      <c r="E139" s="20">
        <f t="shared" ref="E139:L139" si="31">-$E$79*12*$C$24</f>
        <v>-71820598.81</v>
      </c>
      <c r="F139" s="20">
        <f t="shared" si="31"/>
        <v>-71820598.81</v>
      </c>
      <c r="G139" s="20">
        <f t="shared" si="31"/>
        <v>-71820598.81</v>
      </c>
      <c r="H139" s="20">
        <f t="shared" si="31"/>
        <v>-71820598.81</v>
      </c>
      <c r="I139" s="20">
        <f t="shared" si="31"/>
        <v>-71820598.81</v>
      </c>
      <c r="J139" s="20">
        <f t="shared" si="31"/>
        <v>-71820598.81</v>
      </c>
      <c r="K139" s="20">
        <f t="shared" si="31"/>
        <v>-71820598.81</v>
      </c>
      <c r="L139" s="20">
        <f t="shared" si="31"/>
        <v>-71820598.81</v>
      </c>
      <c r="M139" s="7"/>
      <c r="N139" s="7"/>
    </row>
    <row r="140" ht="18.75" customHeight="1">
      <c r="A140" s="160"/>
      <c r="B140" s="161" t="s">
        <v>393</v>
      </c>
      <c r="C140" s="162">
        <f t="shared" ref="C140:L140" si="32">C138+C139</f>
        <v>34515999.48</v>
      </c>
      <c r="D140" s="162">
        <f t="shared" si="32"/>
        <v>51773999.22</v>
      </c>
      <c r="E140" s="162">
        <f t="shared" si="32"/>
        <v>69031998.95</v>
      </c>
      <c r="F140" s="162">
        <f t="shared" si="32"/>
        <v>69031998.95</v>
      </c>
      <c r="G140" s="162">
        <f t="shared" si="32"/>
        <v>69031998.95</v>
      </c>
      <c r="H140" s="162">
        <f t="shared" si="32"/>
        <v>69031998.95</v>
      </c>
      <c r="I140" s="162">
        <f t="shared" si="32"/>
        <v>69031998.95</v>
      </c>
      <c r="J140" s="162">
        <f t="shared" si="32"/>
        <v>69031998.95</v>
      </c>
      <c r="K140" s="162">
        <f t="shared" si="32"/>
        <v>69031998.95</v>
      </c>
      <c r="L140" s="162">
        <f t="shared" si="32"/>
        <v>69031998.95</v>
      </c>
      <c r="M140" s="160"/>
      <c r="N140" s="160"/>
    </row>
    <row r="141">
      <c r="A141" s="7"/>
      <c r="B141" s="96" t="s">
        <v>394</v>
      </c>
      <c r="C141" s="24">
        <f t="shared" ref="C141:L141" si="33">IF(C138=0,0,C140/C138)</f>
        <v>0.4901009996</v>
      </c>
      <c r="D141" s="24">
        <f t="shared" si="33"/>
        <v>0.4901009996</v>
      </c>
      <c r="E141" s="24">
        <f t="shared" si="33"/>
        <v>0.4901009996</v>
      </c>
      <c r="F141" s="24">
        <f t="shared" si="33"/>
        <v>0.4901009996</v>
      </c>
      <c r="G141" s="24">
        <f t="shared" si="33"/>
        <v>0.4901009996</v>
      </c>
      <c r="H141" s="24">
        <f t="shared" si="33"/>
        <v>0.4901009996</v>
      </c>
      <c r="I141" s="24">
        <f t="shared" si="33"/>
        <v>0.4901009996</v>
      </c>
      <c r="J141" s="24">
        <f t="shared" si="33"/>
        <v>0.4901009996</v>
      </c>
      <c r="K141" s="24">
        <f t="shared" si="33"/>
        <v>0.4901009996</v>
      </c>
      <c r="L141" s="24">
        <f t="shared" si="33"/>
        <v>0.4901009996</v>
      </c>
      <c r="M141" s="7"/>
      <c r="N141" s="7"/>
    </row>
    <row r="142">
      <c r="A142" s="2"/>
      <c r="B142" s="92" t="s">
        <v>395</v>
      </c>
      <c r="C142" s="26">
        <f>-(C60/C18+C61/20)</f>
        <v>-217100</v>
      </c>
      <c r="D142" s="26">
        <f>-(C60/C18+C61/20)</f>
        <v>-217100</v>
      </c>
      <c r="E142" s="26">
        <f>-(C60/C18+C61/20)</f>
        <v>-217100</v>
      </c>
      <c r="F142" s="26">
        <f>-(C60/C18+C61/20)</f>
        <v>-217100</v>
      </c>
      <c r="G142" s="26">
        <f>-(C60/C18+C61/20)</f>
        <v>-217100</v>
      </c>
      <c r="H142" s="26">
        <f>-(C60/C18+C61/20)</f>
        <v>-217100</v>
      </c>
      <c r="I142" s="26">
        <f>-(C60/C18+C61/20)</f>
        <v>-217100</v>
      </c>
      <c r="J142" s="26">
        <f>-(C60/C18+C61/20)</f>
        <v>-217100</v>
      </c>
      <c r="K142" s="26">
        <f>-(C60/C18+C61/20)</f>
        <v>-217100</v>
      </c>
      <c r="L142" s="26">
        <f>-(C60/C18+C61/20)</f>
        <v>-217100</v>
      </c>
      <c r="M142" s="2"/>
      <c r="N142" s="2"/>
    </row>
    <row r="143">
      <c r="A143" s="7"/>
      <c r="B143" s="163" t="s">
        <v>396</v>
      </c>
      <c r="C143" s="34">
        <f t="shared" ref="C143:L143" si="34">C140+C142</f>
        <v>34298899.48</v>
      </c>
      <c r="D143" s="34">
        <f t="shared" si="34"/>
        <v>51556899.22</v>
      </c>
      <c r="E143" s="34">
        <f t="shared" si="34"/>
        <v>68814898.95</v>
      </c>
      <c r="F143" s="34">
        <f t="shared" si="34"/>
        <v>68814898.95</v>
      </c>
      <c r="G143" s="34">
        <f t="shared" si="34"/>
        <v>68814898.95</v>
      </c>
      <c r="H143" s="34">
        <f t="shared" si="34"/>
        <v>68814898.95</v>
      </c>
      <c r="I143" s="34">
        <f t="shared" si="34"/>
        <v>68814898.95</v>
      </c>
      <c r="J143" s="34">
        <f t="shared" si="34"/>
        <v>68814898.95</v>
      </c>
      <c r="K143" s="34">
        <f t="shared" si="34"/>
        <v>68814898.95</v>
      </c>
      <c r="L143" s="34">
        <f t="shared" si="34"/>
        <v>68814898.95</v>
      </c>
      <c r="M143" s="35"/>
      <c r="N143" s="35"/>
    </row>
    <row r="144">
      <c r="A144" s="2"/>
      <c r="B144" s="92" t="s">
        <v>397</v>
      </c>
      <c r="C144" s="26">
        <f t="shared" ref="C144:L144" si="35">-D196</f>
        <v>-311120.5806</v>
      </c>
      <c r="D144" s="26">
        <f t="shared" si="35"/>
        <v>-259267.1505</v>
      </c>
      <c r="E144" s="26">
        <f t="shared" si="35"/>
        <v>-207413.7204</v>
      </c>
      <c r="F144" s="26">
        <f t="shared" si="35"/>
        <v>-155560.2903</v>
      </c>
      <c r="G144" s="26">
        <f t="shared" si="35"/>
        <v>-103706.8602</v>
      </c>
      <c r="H144" s="26">
        <f t="shared" si="35"/>
        <v>-51853.4301</v>
      </c>
      <c r="I144" s="26">
        <f t="shared" si="35"/>
        <v>0</v>
      </c>
      <c r="J144" s="26">
        <f t="shared" si="35"/>
        <v>0</v>
      </c>
      <c r="K144" s="26">
        <f t="shared" si="35"/>
        <v>0</v>
      </c>
      <c r="L144" s="26">
        <f t="shared" si="35"/>
        <v>0</v>
      </c>
      <c r="M144" s="2"/>
      <c r="N144" s="2"/>
    </row>
    <row r="145">
      <c r="A145" s="7"/>
      <c r="B145" s="96" t="s">
        <v>398</v>
      </c>
      <c r="C145" s="20">
        <f t="shared" ref="C145:L145" si="36">C143+C144</f>
        <v>33987778.9</v>
      </c>
      <c r="D145" s="20">
        <f t="shared" si="36"/>
        <v>51297632.06</v>
      </c>
      <c r="E145" s="20">
        <f t="shared" si="36"/>
        <v>68607485.23</v>
      </c>
      <c r="F145" s="20">
        <f t="shared" si="36"/>
        <v>68659338.66</v>
      </c>
      <c r="G145" s="20">
        <f t="shared" si="36"/>
        <v>68711192.09</v>
      </c>
      <c r="H145" s="20">
        <f t="shared" si="36"/>
        <v>68763045.52</v>
      </c>
      <c r="I145" s="20">
        <f t="shared" si="36"/>
        <v>68814898.95</v>
      </c>
      <c r="J145" s="20">
        <f t="shared" si="36"/>
        <v>68814898.95</v>
      </c>
      <c r="K145" s="20">
        <f t="shared" si="36"/>
        <v>68814898.95</v>
      </c>
      <c r="L145" s="20">
        <f t="shared" si="36"/>
        <v>68814898.95</v>
      </c>
      <c r="M145" s="7"/>
      <c r="N145" s="7"/>
    </row>
    <row r="146">
      <c r="A146" s="2"/>
      <c r="B146" s="92" t="s">
        <v>399</v>
      </c>
      <c r="C146" s="26">
        <f>-MAX(0,C145)*C15</f>
        <v>-10196333.67</v>
      </c>
      <c r="D146" s="26">
        <f>-MAX(0,D145)*C15</f>
        <v>-15389289.62</v>
      </c>
      <c r="E146" s="26">
        <f>-MAX(0,E145)*C15</f>
        <v>-20582245.57</v>
      </c>
      <c r="F146" s="26">
        <f>-MAX(0,F145)*C15</f>
        <v>-20597801.6</v>
      </c>
      <c r="G146" s="26">
        <f>-MAX(0,G145)*C15</f>
        <v>-20613357.63</v>
      </c>
      <c r="H146" s="26">
        <f>-MAX(0,H145)*C15</f>
        <v>-20628913.66</v>
      </c>
      <c r="I146" s="26">
        <f>-MAX(0,I145)*C15</f>
        <v>-20644469.69</v>
      </c>
      <c r="J146" s="26">
        <f>-MAX(0,J145)*C15</f>
        <v>-20644469.69</v>
      </c>
      <c r="K146" s="26">
        <f>-MAX(0,K145)*C15</f>
        <v>-20644469.69</v>
      </c>
      <c r="L146" s="26">
        <f>-MAX(0,L145)*C15</f>
        <v>-20644469.69</v>
      </c>
      <c r="M146" s="2"/>
      <c r="N146" s="2"/>
    </row>
    <row r="147">
      <c r="A147" s="7"/>
      <c r="B147" s="96" t="s">
        <v>400</v>
      </c>
      <c r="C147" s="20">
        <f>-MAX(0,C145)*C16</f>
        <v>-3398777.89</v>
      </c>
      <c r="D147" s="20">
        <f>-MAX(0,D145)*C16</f>
        <v>-5129763.206</v>
      </c>
      <c r="E147" s="20">
        <f>-MAX(0,E145)*C16</f>
        <v>-6860748.523</v>
      </c>
      <c r="F147" s="20">
        <f>-MAX(0,F145)*C16</f>
        <v>-6865933.866</v>
      </c>
      <c r="G147" s="20">
        <f>-MAX(0,G145)*C16</f>
        <v>-6871119.209</v>
      </c>
      <c r="H147" s="20">
        <f>-MAX(0,H145)*C16</f>
        <v>-6876304.552</v>
      </c>
      <c r="I147" s="20">
        <f>-MAX(0,I145)*C16</f>
        <v>-6881489.895</v>
      </c>
      <c r="J147" s="20">
        <f>-MAX(0,J145)*C16</f>
        <v>-6881489.895</v>
      </c>
      <c r="K147" s="20">
        <f>-MAX(0,K145)*C16</f>
        <v>-6881489.895</v>
      </c>
      <c r="L147" s="20">
        <f>-MAX(0,L145)*C16</f>
        <v>-6881489.895</v>
      </c>
      <c r="M147" s="7"/>
      <c r="N147" s="7"/>
    </row>
    <row r="148" ht="18.75" customHeight="1">
      <c r="A148" s="160"/>
      <c r="B148" s="161" t="s">
        <v>401</v>
      </c>
      <c r="C148" s="162">
        <f t="shared" ref="C148:L148" si="37">C145+C146+C147</f>
        <v>20392667.34</v>
      </c>
      <c r="D148" s="162">
        <f t="shared" si="37"/>
        <v>30778579.24</v>
      </c>
      <c r="E148" s="162">
        <f t="shared" si="37"/>
        <v>41164491.14</v>
      </c>
      <c r="F148" s="162">
        <f t="shared" si="37"/>
        <v>41195603.2</v>
      </c>
      <c r="G148" s="162">
        <f t="shared" si="37"/>
        <v>41226715.26</v>
      </c>
      <c r="H148" s="162">
        <f t="shared" si="37"/>
        <v>41257827.31</v>
      </c>
      <c r="I148" s="162">
        <f t="shared" si="37"/>
        <v>41288939.37</v>
      </c>
      <c r="J148" s="162">
        <f t="shared" si="37"/>
        <v>41288939.37</v>
      </c>
      <c r="K148" s="162">
        <f t="shared" si="37"/>
        <v>41288939.37</v>
      </c>
      <c r="L148" s="162">
        <f t="shared" si="37"/>
        <v>41288939.37</v>
      </c>
      <c r="M148" s="160"/>
      <c r="N148" s="160"/>
    </row>
    <row r="149">
      <c r="A149" s="7"/>
      <c r="B149" s="96" t="s">
        <v>402</v>
      </c>
      <c r="C149" s="20">
        <f>-MAX(0,C148)*C17</f>
        <v>-1019633.367</v>
      </c>
      <c r="D149" s="20">
        <f>-MAX(0,D148)*C17</f>
        <v>-1538928.962</v>
      </c>
      <c r="E149" s="20">
        <f>-MAX(0,E148)*C17</f>
        <v>-2058224.557</v>
      </c>
      <c r="F149" s="20">
        <f>-MAX(0,F148)*C17</f>
        <v>-2059780.16</v>
      </c>
      <c r="G149" s="20">
        <f>-MAX(0,G148)*C17</f>
        <v>-2061335.763</v>
      </c>
      <c r="H149" s="20">
        <f>-MAX(0,H148)*C17</f>
        <v>-2062891.366</v>
      </c>
      <c r="I149" s="20">
        <f>-MAX(0,I148)*C17</f>
        <v>-2064446.969</v>
      </c>
      <c r="J149" s="20">
        <f>-MAX(0,J148)*C17</f>
        <v>-2064446.969</v>
      </c>
      <c r="K149" s="20">
        <f>-MAX(0,K148)*C17</f>
        <v>-2064446.969</v>
      </c>
      <c r="L149" s="20">
        <f>-MAX(0,L148)*C17</f>
        <v>-2064446.969</v>
      </c>
      <c r="M149" s="7"/>
      <c r="N149" s="7"/>
    </row>
    <row r="150" ht="18.75" customHeight="1">
      <c r="A150" s="160"/>
      <c r="B150" s="161" t="s">
        <v>403</v>
      </c>
      <c r="C150" s="162">
        <f t="shared" ref="C150:L150" si="38">C148+C149</f>
        <v>19373033.97</v>
      </c>
      <c r="D150" s="162">
        <f t="shared" si="38"/>
        <v>29239650.28</v>
      </c>
      <c r="E150" s="162">
        <f t="shared" si="38"/>
        <v>39106266.58</v>
      </c>
      <c r="F150" s="162">
        <f t="shared" si="38"/>
        <v>39135823.04</v>
      </c>
      <c r="G150" s="162">
        <f t="shared" si="38"/>
        <v>39165379.49</v>
      </c>
      <c r="H150" s="162">
        <f t="shared" si="38"/>
        <v>39194935.95</v>
      </c>
      <c r="I150" s="162">
        <f t="shared" si="38"/>
        <v>39224492.4</v>
      </c>
      <c r="J150" s="162">
        <f t="shared" si="38"/>
        <v>39224492.4</v>
      </c>
      <c r="K150" s="162">
        <f t="shared" si="38"/>
        <v>39224492.4</v>
      </c>
      <c r="L150" s="162">
        <f t="shared" si="38"/>
        <v>39224492.4</v>
      </c>
      <c r="M150" s="160"/>
      <c r="N150" s="160"/>
    </row>
    <row r="151">
      <c r="A151" s="7"/>
      <c r="B151" s="13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</row>
    <row r="152">
      <c r="A152" s="53"/>
      <c r="B152" s="139" t="s">
        <v>406</v>
      </c>
      <c r="C152" s="4"/>
      <c r="D152" s="4"/>
      <c r="E152" s="4"/>
      <c r="F152" s="4"/>
      <c r="G152" s="4"/>
      <c r="H152" s="5"/>
      <c r="I152" s="140"/>
      <c r="J152" s="140"/>
      <c r="K152" s="140"/>
      <c r="L152" s="140"/>
      <c r="M152" s="140"/>
      <c r="N152" s="140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>
      <c r="A153" s="53"/>
      <c r="B153" s="141" t="s">
        <v>407</v>
      </c>
      <c r="C153" s="54" t="s">
        <v>408</v>
      </c>
      <c r="D153" s="54" t="s">
        <v>409</v>
      </c>
      <c r="E153" s="54" t="s">
        <v>410</v>
      </c>
      <c r="F153" s="54"/>
      <c r="G153" s="54"/>
      <c r="H153" s="54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>
      <c r="A154" s="2"/>
      <c r="B154" s="92" t="s">
        <v>411</v>
      </c>
      <c r="C154" s="26">
        <f t="shared" ref="C154:C155" si="39">C60</f>
        <v>2071000</v>
      </c>
      <c r="D154" s="44">
        <f>C18</f>
        <v>10</v>
      </c>
      <c r="E154" s="26">
        <f t="shared" ref="E154:E155" si="40">C154/D154</f>
        <v>207100</v>
      </c>
      <c r="F154" s="2"/>
      <c r="G154" s="2"/>
      <c r="H154" s="2"/>
      <c r="I154" s="2"/>
      <c r="J154" s="2"/>
      <c r="K154" s="2"/>
      <c r="L154" s="2"/>
      <c r="M154" s="2"/>
      <c r="N154" s="2"/>
    </row>
    <row r="155">
      <c r="A155" s="7"/>
      <c r="B155" s="96" t="s">
        <v>343</v>
      </c>
      <c r="C155" s="20">
        <f t="shared" si="39"/>
        <v>200000</v>
      </c>
      <c r="D155" s="101">
        <v>20.0</v>
      </c>
      <c r="E155" s="20">
        <f t="shared" si="40"/>
        <v>10000</v>
      </c>
      <c r="F155" s="7"/>
      <c r="G155" s="7"/>
      <c r="H155" s="7"/>
      <c r="I155" s="7"/>
      <c r="J155" s="7"/>
      <c r="K155" s="7"/>
      <c r="L155" s="7"/>
      <c r="M155" s="7"/>
      <c r="N155" s="7"/>
    </row>
    <row r="156" ht="18.75" customHeight="1">
      <c r="A156" s="132"/>
      <c r="B156" s="133" t="s">
        <v>412</v>
      </c>
      <c r="C156" s="132"/>
      <c r="D156" s="132"/>
      <c r="E156" s="135">
        <f>E154+E155</f>
        <v>217100</v>
      </c>
      <c r="F156" s="132"/>
      <c r="G156" s="132"/>
      <c r="H156" s="132"/>
      <c r="I156" s="132"/>
      <c r="J156" s="132"/>
      <c r="K156" s="132"/>
      <c r="L156" s="132"/>
      <c r="M156" s="132"/>
      <c r="N156" s="132"/>
    </row>
    <row r="157">
      <c r="A157" s="7"/>
      <c r="B157" s="13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</row>
    <row r="158">
      <c r="A158" s="164"/>
      <c r="B158" s="165" t="s">
        <v>413</v>
      </c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5"/>
      <c r="O158" s="164"/>
      <c r="P158" s="164"/>
      <c r="Q158" s="164"/>
      <c r="R158" s="164"/>
      <c r="S158" s="164"/>
      <c r="T158" s="164"/>
      <c r="U158" s="164"/>
      <c r="V158" s="164"/>
      <c r="W158" s="164"/>
      <c r="X158" s="164"/>
      <c r="Y158" s="164"/>
      <c r="Z158" s="164"/>
    </row>
    <row r="159">
      <c r="A159" s="7"/>
      <c r="B159" s="113" t="s">
        <v>414</v>
      </c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5"/>
    </row>
    <row r="160">
      <c r="A160" s="2"/>
      <c r="B160" s="92" t="s">
        <v>415</v>
      </c>
      <c r="C160" s="26">
        <f>C64*C29</f>
        <v>2304596.893</v>
      </c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>
      <c r="A161" s="7"/>
      <c r="B161" s="96" t="s">
        <v>416</v>
      </c>
      <c r="C161" s="24">
        <f t="shared" ref="C161:C162" si="41">C30</f>
        <v>0.135</v>
      </c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</row>
    <row r="162">
      <c r="A162" s="2"/>
      <c r="B162" s="92" t="s">
        <v>417</v>
      </c>
      <c r="C162" s="44">
        <f t="shared" si="41"/>
        <v>6</v>
      </c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>
      <c r="A163" s="7"/>
      <c r="B163" s="13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</row>
    <row r="164">
      <c r="A164" s="53"/>
      <c r="B164" s="141" t="s">
        <v>340</v>
      </c>
      <c r="C164" s="54" t="s">
        <v>418</v>
      </c>
      <c r="D164" s="54" t="s">
        <v>380</v>
      </c>
      <c r="E164" s="54" t="s">
        <v>381</v>
      </c>
      <c r="F164" s="54" t="s">
        <v>382</v>
      </c>
      <c r="G164" s="54" t="s">
        <v>383</v>
      </c>
      <c r="H164" s="54" t="s">
        <v>384</v>
      </c>
      <c r="I164" s="54" t="s">
        <v>385</v>
      </c>
      <c r="J164" s="54" t="s">
        <v>386</v>
      </c>
      <c r="K164" s="54" t="s">
        <v>387</v>
      </c>
      <c r="L164" s="54" t="s">
        <v>388</v>
      </c>
      <c r="M164" s="54" t="s">
        <v>389</v>
      </c>
      <c r="N164" s="142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>
      <c r="A165" s="7"/>
      <c r="B165" s="96" t="s">
        <v>419</v>
      </c>
      <c r="C165" s="20">
        <v>0.0</v>
      </c>
      <c r="D165" s="20">
        <f t="shared" ref="D165:L165" si="42">C170</f>
        <v>2304596.893</v>
      </c>
      <c r="E165" s="20">
        <f t="shared" si="42"/>
        <v>1920497.411</v>
      </c>
      <c r="F165" s="20">
        <f t="shared" si="42"/>
        <v>1536397.929</v>
      </c>
      <c r="G165" s="20">
        <f t="shared" si="42"/>
        <v>1152298.447</v>
      </c>
      <c r="H165" s="20">
        <f t="shared" si="42"/>
        <v>768198.9644</v>
      </c>
      <c r="I165" s="20">
        <f t="shared" si="42"/>
        <v>384099.4822</v>
      </c>
      <c r="J165" s="20">
        <f t="shared" si="42"/>
        <v>0</v>
      </c>
      <c r="K165" s="20">
        <f t="shared" si="42"/>
        <v>0</v>
      </c>
      <c r="L165" s="20">
        <f t="shared" si="42"/>
        <v>0</v>
      </c>
      <c r="M165" s="20">
        <f>L169</f>
        <v>0</v>
      </c>
      <c r="N165" s="7"/>
    </row>
    <row r="166">
      <c r="A166" s="2"/>
      <c r="B166" s="92" t="s">
        <v>420</v>
      </c>
      <c r="C166" s="26">
        <f>C160</f>
        <v>2304596.893</v>
      </c>
      <c r="D166" s="26">
        <v>0.0</v>
      </c>
      <c r="E166" s="26">
        <v>0.0</v>
      </c>
      <c r="F166" s="26">
        <v>0.0</v>
      </c>
      <c r="G166" s="26">
        <v>0.0</v>
      </c>
      <c r="H166" s="26">
        <v>0.0</v>
      </c>
      <c r="I166" s="26">
        <v>0.0</v>
      </c>
      <c r="J166" s="26">
        <v>0.0</v>
      </c>
      <c r="K166" s="26">
        <v>0.0</v>
      </c>
      <c r="L166" s="26">
        <v>0.0</v>
      </c>
      <c r="M166" s="26">
        <v>0.0</v>
      </c>
      <c r="N166" s="2"/>
    </row>
    <row r="167">
      <c r="A167" s="7"/>
      <c r="B167" s="96" t="s">
        <v>421</v>
      </c>
      <c r="C167" s="20">
        <v>0.0</v>
      </c>
      <c r="D167" s="20">
        <f>IF(1&lt;=C162,C160/C162,0)</f>
        <v>384099.4822</v>
      </c>
      <c r="E167" s="20">
        <f>IF(2&lt;=C162,C160/C162,0)</f>
        <v>384099.4822</v>
      </c>
      <c r="F167" s="20">
        <f>IF(3&lt;=C162,C160/C162,0)</f>
        <v>384099.4822</v>
      </c>
      <c r="G167" s="20">
        <f>IF(4&lt;=C162,C160/C162,0)</f>
        <v>384099.4822</v>
      </c>
      <c r="H167" s="20">
        <f>IF(5&lt;=C162,C160/C162,0)</f>
        <v>384099.4822</v>
      </c>
      <c r="I167" s="20">
        <f>IF(6&lt;=C162,C160/C162,0)</f>
        <v>384099.4822</v>
      </c>
      <c r="J167" s="20">
        <f>IF(7&lt;=C162,C160/C162,0)</f>
        <v>0</v>
      </c>
      <c r="K167" s="20">
        <f>IF(8&lt;=C162,C160/C162,0)</f>
        <v>0</v>
      </c>
      <c r="L167" s="20">
        <f>IF(9&lt;=C162,C160/C162,0)</f>
        <v>0</v>
      </c>
      <c r="M167" s="20">
        <f>IF(10&lt;=C162,C160/C162,0)</f>
        <v>0</v>
      </c>
      <c r="N167" s="7"/>
    </row>
    <row r="168">
      <c r="A168" s="2"/>
      <c r="B168" s="92" t="s">
        <v>422</v>
      </c>
      <c r="C168" s="26">
        <v>0.0</v>
      </c>
      <c r="D168" s="26">
        <f>D165*C161</f>
        <v>311120.5806</v>
      </c>
      <c r="E168" s="26">
        <f>E165*C161</f>
        <v>259267.1505</v>
      </c>
      <c r="F168" s="26">
        <f>F165*C161</f>
        <v>207413.7204</v>
      </c>
      <c r="G168" s="26">
        <f>G165*C161</f>
        <v>155560.2903</v>
      </c>
      <c r="H168" s="26">
        <f>H165*C161</f>
        <v>103706.8602</v>
      </c>
      <c r="I168" s="26">
        <f>I165*C161</f>
        <v>51853.4301</v>
      </c>
      <c r="J168" s="26">
        <f>J165*C161</f>
        <v>0</v>
      </c>
      <c r="K168" s="26">
        <f>K165*C161</f>
        <v>0</v>
      </c>
      <c r="L168" s="26">
        <f>L165*C161</f>
        <v>0</v>
      </c>
      <c r="M168" s="26">
        <f>M165*C161</f>
        <v>0</v>
      </c>
      <c r="N168" s="2"/>
    </row>
    <row r="169">
      <c r="A169" s="7"/>
      <c r="B169" s="163" t="s">
        <v>423</v>
      </c>
      <c r="C169" s="34">
        <v>0.0</v>
      </c>
      <c r="D169" s="34">
        <f t="shared" ref="D169:M169" si="43">D167+D168</f>
        <v>695220.0628</v>
      </c>
      <c r="E169" s="34">
        <f t="shared" si="43"/>
        <v>643366.6327</v>
      </c>
      <c r="F169" s="34">
        <f t="shared" si="43"/>
        <v>591513.2026</v>
      </c>
      <c r="G169" s="34">
        <f t="shared" si="43"/>
        <v>539659.7725</v>
      </c>
      <c r="H169" s="34">
        <f t="shared" si="43"/>
        <v>487806.3424</v>
      </c>
      <c r="I169" s="34">
        <f t="shared" si="43"/>
        <v>435952.9123</v>
      </c>
      <c r="J169" s="34">
        <f t="shared" si="43"/>
        <v>0</v>
      </c>
      <c r="K169" s="34">
        <f t="shared" si="43"/>
        <v>0</v>
      </c>
      <c r="L169" s="34">
        <f t="shared" si="43"/>
        <v>0</v>
      </c>
      <c r="M169" s="34">
        <f t="shared" si="43"/>
        <v>0</v>
      </c>
      <c r="N169" s="7"/>
    </row>
    <row r="170">
      <c r="A170" s="2"/>
      <c r="B170" s="92" t="s">
        <v>424</v>
      </c>
      <c r="C170" s="26">
        <f t="shared" ref="C170:M170" si="44">C165+C166-C167</f>
        <v>2304596.893</v>
      </c>
      <c r="D170" s="26">
        <f t="shared" si="44"/>
        <v>1920497.411</v>
      </c>
      <c r="E170" s="26">
        <f t="shared" si="44"/>
        <v>1536397.929</v>
      </c>
      <c r="F170" s="26">
        <f t="shared" si="44"/>
        <v>1152298.447</v>
      </c>
      <c r="G170" s="26">
        <f t="shared" si="44"/>
        <v>768198.9644</v>
      </c>
      <c r="H170" s="26">
        <f t="shared" si="44"/>
        <v>384099.4822</v>
      </c>
      <c r="I170" s="26">
        <f t="shared" si="44"/>
        <v>0</v>
      </c>
      <c r="J170" s="26">
        <f t="shared" si="44"/>
        <v>0</v>
      </c>
      <c r="K170" s="26">
        <f t="shared" si="44"/>
        <v>0</v>
      </c>
      <c r="L170" s="26">
        <f t="shared" si="44"/>
        <v>0</v>
      </c>
      <c r="M170" s="26">
        <f t="shared" si="44"/>
        <v>0</v>
      </c>
      <c r="N170" s="2"/>
    </row>
    <row r="171">
      <c r="A171" s="7"/>
      <c r="B171" s="96" t="s">
        <v>425</v>
      </c>
      <c r="C171" s="166" t="s">
        <v>426</v>
      </c>
      <c r="D171" s="45">
        <f t="shared" ref="D171:M171" si="45">IF(D169=0,"-",C104/D169)</f>
        <v>5.012127548</v>
      </c>
      <c r="E171" s="45">
        <f t="shared" si="45"/>
        <v>8.124135101</v>
      </c>
      <c r="F171" s="45">
        <f t="shared" si="45"/>
        <v>11.78175437</v>
      </c>
      <c r="G171" s="45">
        <f t="shared" si="45"/>
        <v>12.91380906</v>
      </c>
      <c r="H171" s="45">
        <f t="shared" si="45"/>
        <v>14.28653679</v>
      </c>
      <c r="I171" s="45">
        <f t="shared" si="45"/>
        <v>15.9858165</v>
      </c>
      <c r="J171" s="45" t="str">
        <f t="shared" si="45"/>
        <v>-</v>
      </c>
      <c r="K171" s="45" t="str">
        <f t="shared" si="45"/>
        <v>-</v>
      </c>
      <c r="L171" s="45" t="str">
        <f t="shared" si="45"/>
        <v>-</v>
      </c>
      <c r="M171" s="45" t="str">
        <f t="shared" si="45"/>
        <v>-</v>
      </c>
      <c r="N171" s="7"/>
    </row>
    <row r="172">
      <c r="A172" s="2"/>
      <c r="B172" s="11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>
      <c r="A173" s="53"/>
      <c r="B173" s="167" t="s">
        <v>427</v>
      </c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5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>
      <c r="A174" s="2"/>
      <c r="B174" s="92" t="s">
        <v>415</v>
      </c>
      <c r="C174" s="26">
        <f>C64*C29</f>
        <v>2304596.893</v>
      </c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>
      <c r="A175" s="7"/>
      <c r="B175" s="96" t="s">
        <v>416</v>
      </c>
      <c r="C175" s="24">
        <f t="shared" ref="C175:C176" si="46">C30</f>
        <v>0.135</v>
      </c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</row>
    <row r="176">
      <c r="A176" s="2"/>
      <c r="B176" s="92" t="s">
        <v>417</v>
      </c>
      <c r="C176" s="44">
        <f t="shared" si="46"/>
        <v>6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>
      <c r="A177" s="7"/>
      <c r="B177" s="13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</row>
    <row r="178">
      <c r="A178" s="53"/>
      <c r="B178" s="141" t="s">
        <v>340</v>
      </c>
      <c r="C178" s="54" t="s">
        <v>418</v>
      </c>
      <c r="D178" s="54" t="s">
        <v>380</v>
      </c>
      <c r="E178" s="54" t="s">
        <v>381</v>
      </c>
      <c r="F178" s="54" t="s">
        <v>382</v>
      </c>
      <c r="G178" s="54" t="s">
        <v>383</v>
      </c>
      <c r="H178" s="54" t="s">
        <v>384</v>
      </c>
      <c r="I178" s="54" t="s">
        <v>385</v>
      </c>
      <c r="J178" s="54" t="s">
        <v>386</v>
      </c>
      <c r="K178" s="54" t="s">
        <v>387</v>
      </c>
      <c r="L178" s="54" t="s">
        <v>388</v>
      </c>
      <c r="M178" s="54" t="s">
        <v>389</v>
      </c>
      <c r="N178" s="142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>
      <c r="A179" s="7"/>
      <c r="B179" s="96" t="s">
        <v>419</v>
      </c>
      <c r="C179" s="20">
        <v>0.0</v>
      </c>
      <c r="D179" s="20">
        <f t="shared" ref="D179:L179" si="47">C184</f>
        <v>2304596.893</v>
      </c>
      <c r="E179" s="20">
        <f t="shared" si="47"/>
        <v>1920497.411</v>
      </c>
      <c r="F179" s="20">
        <f t="shared" si="47"/>
        <v>1536397.929</v>
      </c>
      <c r="G179" s="20">
        <f t="shared" si="47"/>
        <v>1152298.447</v>
      </c>
      <c r="H179" s="20">
        <f t="shared" si="47"/>
        <v>768198.9644</v>
      </c>
      <c r="I179" s="20">
        <f t="shared" si="47"/>
        <v>384099.4822</v>
      </c>
      <c r="J179" s="20">
        <f t="shared" si="47"/>
        <v>0</v>
      </c>
      <c r="K179" s="20">
        <f t="shared" si="47"/>
        <v>0</v>
      </c>
      <c r="L179" s="20">
        <f t="shared" si="47"/>
        <v>0</v>
      </c>
      <c r="M179" s="20">
        <f>L183</f>
        <v>0</v>
      </c>
      <c r="N179" s="7"/>
    </row>
    <row r="180">
      <c r="A180" s="2"/>
      <c r="B180" s="92" t="s">
        <v>420</v>
      </c>
      <c r="C180" s="26">
        <f>C174</f>
        <v>2304596.893</v>
      </c>
      <c r="D180" s="26">
        <v>0.0</v>
      </c>
      <c r="E180" s="26">
        <v>0.0</v>
      </c>
      <c r="F180" s="26">
        <v>0.0</v>
      </c>
      <c r="G180" s="26">
        <v>0.0</v>
      </c>
      <c r="H180" s="26">
        <v>0.0</v>
      </c>
      <c r="I180" s="26">
        <v>0.0</v>
      </c>
      <c r="J180" s="26">
        <v>0.0</v>
      </c>
      <c r="K180" s="26">
        <v>0.0</v>
      </c>
      <c r="L180" s="26">
        <v>0.0</v>
      </c>
      <c r="M180" s="26">
        <v>0.0</v>
      </c>
      <c r="N180" s="2"/>
    </row>
    <row r="181">
      <c r="A181" s="7"/>
      <c r="B181" s="96" t="s">
        <v>421</v>
      </c>
      <c r="C181" s="20">
        <v>0.0</v>
      </c>
      <c r="D181" s="20">
        <f>IF(1&lt;=C176,C174/C176,0)</f>
        <v>384099.4822</v>
      </c>
      <c r="E181" s="20">
        <f>IF(2&lt;=C176,C174/C176,0)</f>
        <v>384099.4822</v>
      </c>
      <c r="F181" s="20">
        <f>IF(3&lt;=C176,C174/C176,0)</f>
        <v>384099.4822</v>
      </c>
      <c r="G181" s="20">
        <f>IF(4&lt;=C176,C174/C176,0)</f>
        <v>384099.4822</v>
      </c>
      <c r="H181" s="20">
        <f>IF(5&lt;=C176,C174/C176,0)</f>
        <v>384099.4822</v>
      </c>
      <c r="I181" s="20">
        <f>IF(6&lt;=C176,C174/C176,0)</f>
        <v>384099.4822</v>
      </c>
      <c r="J181" s="20">
        <f>IF(7&lt;=C176,C174/C176,0)</f>
        <v>0</v>
      </c>
      <c r="K181" s="20">
        <f>IF(8&lt;=C176,C174/C176,0)</f>
        <v>0</v>
      </c>
      <c r="L181" s="20">
        <f>IF(9&lt;=C176,C174/C176,0)</f>
        <v>0</v>
      </c>
      <c r="M181" s="20">
        <f>IF(10&lt;=C176,C174/C176,0)</f>
        <v>0</v>
      </c>
      <c r="N181" s="7"/>
    </row>
    <row r="182">
      <c r="A182" s="2"/>
      <c r="B182" s="92" t="s">
        <v>422</v>
      </c>
      <c r="C182" s="26">
        <v>0.0</v>
      </c>
      <c r="D182" s="26">
        <f>D179*C175</f>
        <v>311120.5806</v>
      </c>
      <c r="E182" s="26">
        <f>E179*C175</f>
        <v>259267.1505</v>
      </c>
      <c r="F182" s="26">
        <f>F179*C175</f>
        <v>207413.7204</v>
      </c>
      <c r="G182" s="26">
        <f>G179*C175</f>
        <v>155560.2903</v>
      </c>
      <c r="H182" s="26">
        <f>H179*C175</f>
        <v>103706.8602</v>
      </c>
      <c r="I182" s="26">
        <f>I179*C175</f>
        <v>51853.4301</v>
      </c>
      <c r="J182" s="26">
        <f>J179*C175</f>
        <v>0</v>
      </c>
      <c r="K182" s="26">
        <f>K179*C175</f>
        <v>0</v>
      </c>
      <c r="L182" s="26">
        <f>L179*C175</f>
        <v>0</v>
      </c>
      <c r="M182" s="26">
        <f>M179*C175</f>
        <v>0</v>
      </c>
      <c r="N182" s="2"/>
    </row>
    <row r="183">
      <c r="A183" s="7"/>
      <c r="B183" s="163" t="s">
        <v>423</v>
      </c>
      <c r="C183" s="34">
        <v>0.0</v>
      </c>
      <c r="D183" s="34">
        <f t="shared" ref="D183:M183" si="48">D181+D182</f>
        <v>695220.0628</v>
      </c>
      <c r="E183" s="34">
        <f t="shared" si="48"/>
        <v>643366.6327</v>
      </c>
      <c r="F183" s="34">
        <f t="shared" si="48"/>
        <v>591513.2026</v>
      </c>
      <c r="G183" s="34">
        <f t="shared" si="48"/>
        <v>539659.7725</v>
      </c>
      <c r="H183" s="34">
        <f t="shared" si="48"/>
        <v>487806.3424</v>
      </c>
      <c r="I183" s="34">
        <f t="shared" si="48"/>
        <v>435952.9123</v>
      </c>
      <c r="J183" s="34">
        <f t="shared" si="48"/>
        <v>0</v>
      </c>
      <c r="K183" s="34">
        <f t="shared" si="48"/>
        <v>0</v>
      </c>
      <c r="L183" s="34">
        <f t="shared" si="48"/>
        <v>0</v>
      </c>
      <c r="M183" s="34">
        <f t="shared" si="48"/>
        <v>0</v>
      </c>
      <c r="N183" s="7"/>
    </row>
    <row r="184">
      <c r="A184" s="2"/>
      <c r="B184" s="92" t="s">
        <v>424</v>
      </c>
      <c r="C184" s="26">
        <f t="shared" ref="C184:M184" si="49">C179+C180-C181</f>
        <v>2304596.893</v>
      </c>
      <c r="D184" s="26">
        <f t="shared" si="49"/>
        <v>1920497.411</v>
      </c>
      <c r="E184" s="26">
        <f t="shared" si="49"/>
        <v>1536397.929</v>
      </c>
      <c r="F184" s="26">
        <f t="shared" si="49"/>
        <v>1152298.447</v>
      </c>
      <c r="G184" s="26">
        <f t="shared" si="49"/>
        <v>768198.9644</v>
      </c>
      <c r="H184" s="26">
        <f t="shared" si="49"/>
        <v>384099.4822</v>
      </c>
      <c r="I184" s="26">
        <f t="shared" si="49"/>
        <v>0</v>
      </c>
      <c r="J184" s="26">
        <f t="shared" si="49"/>
        <v>0</v>
      </c>
      <c r="K184" s="26">
        <f t="shared" si="49"/>
        <v>0</v>
      </c>
      <c r="L184" s="26">
        <f t="shared" si="49"/>
        <v>0</v>
      </c>
      <c r="M184" s="26">
        <f t="shared" si="49"/>
        <v>0</v>
      </c>
      <c r="N184" s="2"/>
    </row>
    <row r="185">
      <c r="A185" s="7"/>
      <c r="B185" s="96" t="s">
        <v>425</v>
      </c>
      <c r="C185" s="166" t="s">
        <v>426</v>
      </c>
      <c r="D185" s="45">
        <f t="shared" ref="D185:M185" si="50">IF(D183=0,"-",C122/D183)</f>
        <v>7.160953087</v>
      </c>
      <c r="E185" s="45">
        <f t="shared" si="50"/>
        <v>11.60715679</v>
      </c>
      <c r="F185" s="45">
        <f t="shared" si="50"/>
        <v>16.83288972</v>
      </c>
      <c r="G185" s="45">
        <f t="shared" si="50"/>
        <v>18.45028482</v>
      </c>
      <c r="H185" s="45">
        <f t="shared" si="50"/>
        <v>20.41153557</v>
      </c>
      <c r="I185" s="45">
        <f t="shared" si="50"/>
        <v>22.83933936</v>
      </c>
      <c r="J185" s="45" t="str">
        <f t="shared" si="50"/>
        <v>-</v>
      </c>
      <c r="K185" s="45" t="str">
        <f t="shared" si="50"/>
        <v>-</v>
      </c>
      <c r="L185" s="45" t="str">
        <f t="shared" si="50"/>
        <v>-</v>
      </c>
      <c r="M185" s="45" t="str">
        <f t="shared" si="50"/>
        <v>-</v>
      </c>
      <c r="N185" s="7"/>
    </row>
    <row r="186">
      <c r="A186" s="2"/>
      <c r="B186" s="11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>
      <c r="A187" s="53"/>
      <c r="B187" s="167" t="s">
        <v>428</v>
      </c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5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>
      <c r="A188" s="2"/>
      <c r="B188" s="92" t="s">
        <v>415</v>
      </c>
      <c r="C188" s="26">
        <f>C64*C29</f>
        <v>2304596.893</v>
      </c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>
      <c r="A189" s="7"/>
      <c r="B189" s="96" t="s">
        <v>416</v>
      </c>
      <c r="C189" s="24">
        <f t="shared" ref="C189:C190" si="51">C30</f>
        <v>0.135</v>
      </c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</row>
    <row r="190">
      <c r="A190" s="2"/>
      <c r="B190" s="92" t="s">
        <v>417</v>
      </c>
      <c r="C190" s="44">
        <f t="shared" si="51"/>
        <v>6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>
      <c r="A191" s="7"/>
      <c r="B191" s="13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</row>
    <row r="192">
      <c r="A192" s="53"/>
      <c r="B192" s="141" t="s">
        <v>340</v>
      </c>
      <c r="C192" s="54" t="s">
        <v>418</v>
      </c>
      <c r="D192" s="54" t="s">
        <v>380</v>
      </c>
      <c r="E192" s="54" t="s">
        <v>381</v>
      </c>
      <c r="F192" s="54" t="s">
        <v>382</v>
      </c>
      <c r="G192" s="54" t="s">
        <v>383</v>
      </c>
      <c r="H192" s="54" t="s">
        <v>384</v>
      </c>
      <c r="I192" s="54" t="s">
        <v>385</v>
      </c>
      <c r="J192" s="54" t="s">
        <v>386</v>
      </c>
      <c r="K192" s="54" t="s">
        <v>387</v>
      </c>
      <c r="L192" s="54" t="s">
        <v>388</v>
      </c>
      <c r="M192" s="54" t="s">
        <v>389</v>
      </c>
      <c r="N192" s="142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>
      <c r="A193" s="7"/>
      <c r="B193" s="96" t="s">
        <v>419</v>
      </c>
      <c r="C193" s="20">
        <v>0.0</v>
      </c>
      <c r="D193" s="20">
        <f t="shared" ref="D193:L193" si="52">C198</f>
        <v>2304596.893</v>
      </c>
      <c r="E193" s="20">
        <f t="shared" si="52"/>
        <v>1920497.411</v>
      </c>
      <c r="F193" s="20">
        <f t="shared" si="52"/>
        <v>1536397.929</v>
      </c>
      <c r="G193" s="20">
        <f t="shared" si="52"/>
        <v>1152298.447</v>
      </c>
      <c r="H193" s="20">
        <f t="shared" si="52"/>
        <v>768198.9644</v>
      </c>
      <c r="I193" s="20">
        <f t="shared" si="52"/>
        <v>384099.4822</v>
      </c>
      <c r="J193" s="20">
        <f t="shared" si="52"/>
        <v>0</v>
      </c>
      <c r="K193" s="20">
        <f t="shared" si="52"/>
        <v>0</v>
      </c>
      <c r="L193" s="20">
        <f t="shared" si="52"/>
        <v>0</v>
      </c>
      <c r="M193" s="20">
        <f>L197</f>
        <v>0</v>
      </c>
      <c r="N193" s="7"/>
    </row>
    <row r="194">
      <c r="A194" s="2"/>
      <c r="B194" s="92" t="s">
        <v>420</v>
      </c>
      <c r="C194" s="26">
        <f>C188</f>
        <v>2304596.893</v>
      </c>
      <c r="D194" s="26">
        <v>0.0</v>
      </c>
      <c r="E194" s="26">
        <v>0.0</v>
      </c>
      <c r="F194" s="26">
        <v>0.0</v>
      </c>
      <c r="G194" s="26">
        <v>0.0</v>
      </c>
      <c r="H194" s="26">
        <v>0.0</v>
      </c>
      <c r="I194" s="26">
        <v>0.0</v>
      </c>
      <c r="J194" s="26">
        <v>0.0</v>
      </c>
      <c r="K194" s="26">
        <v>0.0</v>
      </c>
      <c r="L194" s="26">
        <v>0.0</v>
      </c>
      <c r="M194" s="26">
        <v>0.0</v>
      </c>
      <c r="N194" s="2"/>
    </row>
    <row r="195">
      <c r="A195" s="7"/>
      <c r="B195" s="96" t="s">
        <v>421</v>
      </c>
      <c r="C195" s="20">
        <v>0.0</v>
      </c>
      <c r="D195" s="20">
        <f>IF(1&lt;=C190,C188/C190,0)</f>
        <v>384099.4822</v>
      </c>
      <c r="E195" s="20">
        <f>IF(2&lt;=C190,C188/C190,0)</f>
        <v>384099.4822</v>
      </c>
      <c r="F195" s="20">
        <f>IF(3&lt;=C190,C188/C190,0)</f>
        <v>384099.4822</v>
      </c>
      <c r="G195" s="20">
        <f>IF(4&lt;=C190,C188/C190,0)</f>
        <v>384099.4822</v>
      </c>
      <c r="H195" s="20">
        <f>IF(5&lt;=C190,C188/C190,0)</f>
        <v>384099.4822</v>
      </c>
      <c r="I195" s="20">
        <f>IF(6&lt;=C190,C188/C190,0)</f>
        <v>384099.4822</v>
      </c>
      <c r="J195" s="20">
        <f>IF(7&lt;=C190,C188/C190,0)</f>
        <v>0</v>
      </c>
      <c r="K195" s="20">
        <f>IF(8&lt;=C190,C188/C190,0)</f>
        <v>0</v>
      </c>
      <c r="L195" s="20">
        <f>IF(9&lt;=C190,C188/C190,0)</f>
        <v>0</v>
      </c>
      <c r="M195" s="20">
        <f>IF(10&lt;=C190,C188/C190,0)</f>
        <v>0</v>
      </c>
      <c r="N195" s="7"/>
    </row>
    <row r="196">
      <c r="A196" s="2"/>
      <c r="B196" s="92" t="s">
        <v>422</v>
      </c>
      <c r="C196" s="26">
        <v>0.0</v>
      </c>
      <c r="D196" s="26">
        <f>D193*C189</f>
        <v>311120.5806</v>
      </c>
      <c r="E196" s="26">
        <f>E193*C189</f>
        <v>259267.1505</v>
      </c>
      <c r="F196" s="26">
        <f>F193*C189</f>
        <v>207413.7204</v>
      </c>
      <c r="G196" s="26">
        <f>G193*C189</f>
        <v>155560.2903</v>
      </c>
      <c r="H196" s="26">
        <f>H193*C189</f>
        <v>103706.8602</v>
      </c>
      <c r="I196" s="26">
        <f>I193*C189</f>
        <v>51853.4301</v>
      </c>
      <c r="J196" s="26">
        <f>J193*C189</f>
        <v>0</v>
      </c>
      <c r="K196" s="26">
        <f>K193*C189</f>
        <v>0</v>
      </c>
      <c r="L196" s="26">
        <f>L193*C189</f>
        <v>0</v>
      </c>
      <c r="M196" s="26">
        <f>M193*C189</f>
        <v>0</v>
      </c>
      <c r="N196" s="2"/>
    </row>
    <row r="197">
      <c r="A197" s="7"/>
      <c r="B197" s="163" t="s">
        <v>423</v>
      </c>
      <c r="C197" s="34">
        <v>0.0</v>
      </c>
      <c r="D197" s="34">
        <f t="shared" ref="D197:M197" si="53">D195+D196</f>
        <v>695220.0628</v>
      </c>
      <c r="E197" s="34">
        <f t="shared" si="53"/>
        <v>643366.6327</v>
      </c>
      <c r="F197" s="34">
        <f t="shared" si="53"/>
        <v>591513.2026</v>
      </c>
      <c r="G197" s="34">
        <f t="shared" si="53"/>
        <v>539659.7725</v>
      </c>
      <c r="H197" s="34">
        <f t="shared" si="53"/>
        <v>487806.3424</v>
      </c>
      <c r="I197" s="34">
        <f t="shared" si="53"/>
        <v>435952.9123</v>
      </c>
      <c r="J197" s="34">
        <f t="shared" si="53"/>
        <v>0</v>
      </c>
      <c r="K197" s="34">
        <f t="shared" si="53"/>
        <v>0</v>
      </c>
      <c r="L197" s="34">
        <f t="shared" si="53"/>
        <v>0</v>
      </c>
      <c r="M197" s="34">
        <f t="shared" si="53"/>
        <v>0</v>
      </c>
      <c r="N197" s="7"/>
    </row>
    <row r="198">
      <c r="A198" s="2"/>
      <c r="B198" s="92" t="s">
        <v>424</v>
      </c>
      <c r="C198" s="26">
        <f t="shared" ref="C198:M198" si="54">C193+C194-C195</f>
        <v>2304596.893</v>
      </c>
      <c r="D198" s="26">
        <f t="shared" si="54"/>
        <v>1920497.411</v>
      </c>
      <c r="E198" s="26">
        <f t="shared" si="54"/>
        <v>1536397.929</v>
      </c>
      <c r="F198" s="26">
        <f t="shared" si="54"/>
        <v>1152298.447</v>
      </c>
      <c r="G198" s="26">
        <f t="shared" si="54"/>
        <v>768198.9644</v>
      </c>
      <c r="H198" s="26">
        <f t="shared" si="54"/>
        <v>384099.4822</v>
      </c>
      <c r="I198" s="26">
        <f t="shared" si="54"/>
        <v>0</v>
      </c>
      <c r="J198" s="26">
        <f t="shared" si="54"/>
        <v>0</v>
      </c>
      <c r="K198" s="26">
        <f t="shared" si="54"/>
        <v>0</v>
      </c>
      <c r="L198" s="26">
        <f t="shared" si="54"/>
        <v>0</v>
      </c>
      <c r="M198" s="26">
        <f t="shared" si="54"/>
        <v>0</v>
      </c>
      <c r="N198" s="2"/>
    </row>
    <row r="199">
      <c r="A199" s="7"/>
      <c r="B199" s="96" t="s">
        <v>425</v>
      </c>
      <c r="C199" s="166" t="s">
        <v>426</v>
      </c>
      <c r="D199" s="45">
        <f t="shared" ref="D199:M199" si="55">IF(D197=0,"-",C140/D197)</f>
        <v>49.64758833</v>
      </c>
      <c r="E199" s="45">
        <f t="shared" si="55"/>
        <v>80.47355363</v>
      </c>
      <c r="F199" s="45">
        <f t="shared" si="55"/>
        <v>116.7040713</v>
      </c>
      <c r="G199" s="45">
        <f t="shared" si="55"/>
        <v>127.9176297</v>
      </c>
      <c r="H199" s="45">
        <f t="shared" si="55"/>
        <v>141.515173</v>
      </c>
      <c r="I199" s="45">
        <f t="shared" si="55"/>
        <v>158.3473742</v>
      </c>
      <c r="J199" s="45" t="str">
        <f t="shared" si="55"/>
        <v>-</v>
      </c>
      <c r="K199" s="45" t="str">
        <f t="shared" si="55"/>
        <v>-</v>
      </c>
      <c r="L199" s="45" t="str">
        <f t="shared" si="55"/>
        <v>-</v>
      </c>
      <c r="M199" s="45" t="str">
        <f t="shared" si="55"/>
        <v>-</v>
      </c>
      <c r="N199" s="7"/>
    </row>
    <row r="200">
      <c r="A200" s="2"/>
      <c r="B200" s="11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>
      <c r="A201" s="7"/>
      <c r="B201" s="168" t="s">
        <v>429</v>
      </c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5"/>
    </row>
    <row r="202">
      <c r="A202" s="155"/>
      <c r="B202" s="169" t="s">
        <v>430</v>
      </c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5"/>
      <c r="O202" s="155"/>
      <c r="P202" s="155"/>
      <c r="Q202" s="155"/>
      <c r="R202" s="155"/>
      <c r="S202" s="155"/>
      <c r="T202" s="155"/>
      <c r="U202" s="155"/>
      <c r="V202" s="155"/>
      <c r="W202" s="155"/>
      <c r="X202" s="155"/>
      <c r="Y202" s="155"/>
      <c r="Z202" s="155"/>
    </row>
    <row r="203">
      <c r="A203" s="155"/>
      <c r="B203" s="157" t="s">
        <v>340</v>
      </c>
      <c r="C203" s="158" t="s">
        <v>418</v>
      </c>
      <c r="D203" s="158" t="s">
        <v>380</v>
      </c>
      <c r="E203" s="158" t="s">
        <v>381</v>
      </c>
      <c r="F203" s="158" t="s">
        <v>382</v>
      </c>
      <c r="G203" s="158" t="s">
        <v>383</v>
      </c>
      <c r="H203" s="158" t="s">
        <v>384</v>
      </c>
      <c r="I203" s="158" t="s">
        <v>385</v>
      </c>
      <c r="J203" s="158" t="s">
        <v>386</v>
      </c>
      <c r="K203" s="158" t="s">
        <v>387</v>
      </c>
      <c r="L203" s="158" t="s">
        <v>388</v>
      </c>
      <c r="M203" s="158" t="s">
        <v>389</v>
      </c>
      <c r="N203" s="159"/>
      <c r="O203" s="155"/>
      <c r="P203" s="155"/>
      <c r="Q203" s="155"/>
      <c r="R203" s="155"/>
      <c r="S203" s="155"/>
      <c r="T203" s="155"/>
      <c r="U203" s="155"/>
      <c r="V203" s="155"/>
      <c r="W203" s="155"/>
      <c r="X203" s="155"/>
      <c r="Y203" s="155"/>
      <c r="Z203" s="155"/>
    </row>
    <row r="204" ht="18.75" customHeight="1">
      <c r="A204" s="160"/>
      <c r="B204" s="170" t="s">
        <v>393</v>
      </c>
      <c r="C204" s="162">
        <v>0.0</v>
      </c>
      <c r="D204" s="162">
        <f t="shared" ref="D204:M204" si="56">C104</f>
        <v>3484531.629</v>
      </c>
      <c r="E204" s="162">
        <f t="shared" si="56"/>
        <v>5226797.443</v>
      </c>
      <c r="F204" s="162">
        <f t="shared" si="56"/>
        <v>6969063.258</v>
      </c>
      <c r="G204" s="162">
        <f t="shared" si="56"/>
        <v>6969063.258</v>
      </c>
      <c r="H204" s="162">
        <f t="shared" si="56"/>
        <v>6969063.258</v>
      </c>
      <c r="I204" s="162">
        <f t="shared" si="56"/>
        <v>6969063.258</v>
      </c>
      <c r="J204" s="162">
        <f t="shared" si="56"/>
        <v>6969063.258</v>
      </c>
      <c r="K204" s="162">
        <f t="shared" si="56"/>
        <v>6969063.258</v>
      </c>
      <c r="L204" s="162">
        <f t="shared" si="56"/>
        <v>6969063.258</v>
      </c>
      <c r="M204" s="162">
        <f t="shared" si="56"/>
        <v>-6459270.371</v>
      </c>
      <c r="N204" s="160"/>
    </row>
    <row r="205">
      <c r="A205" s="7"/>
      <c r="B205" s="96" t="s">
        <v>431</v>
      </c>
      <c r="C205" s="20">
        <f>-C64</f>
        <v>-3840994.822</v>
      </c>
      <c r="D205" s="20">
        <v>0.0</v>
      </c>
      <c r="E205" s="20">
        <v>0.0</v>
      </c>
      <c r="F205" s="20">
        <v>0.0</v>
      </c>
      <c r="G205" s="20">
        <v>0.0</v>
      </c>
      <c r="H205" s="20">
        <v>0.0</v>
      </c>
      <c r="I205" s="20">
        <v>0.0</v>
      </c>
      <c r="J205" s="20">
        <v>0.0</v>
      </c>
      <c r="K205" s="20">
        <v>0.0</v>
      </c>
      <c r="L205" s="20">
        <v>0.0</v>
      </c>
      <c r="M205" s="20">
        <v>0.0</v>
      </c>
      <c r="N205" s="7"/>
    </row>
    <row r="206">
      <c r="A206" s="2"/>
      <c r="B206" s="92" t="s">
        <v>432</v>
      </c>
      <c r="C206" s="26">
        <v>0.0</v>
      </c>
      <c r="D206" s="26">
        <v>0.0</v>
      </c>
      <c r="E206" s="26">
        <v>0.0</v>
      </c>
      <c r="F206" s="26">
        <v>0.0</v>
      </c>
      <c r="G206" s="26">
        <v>0.0</v>
      </c>
      <c r="H206" s="26">
        <v>0.0</v>
      </c>
      <c r="I206" s="26">
        <v>0.0</v>
      </c>
      <c r="J206" s="26">
        <v>0.0</v>
      </c>
      <c r="K206" s="26">
        <v>0.0</v>
      </c>
      <c r="L206" s="26">
        <v>0.0</v>
      </c>
      <c r="M206" s="26">
        <v>0.0</v>
      </c>
      <c r="N206" s="2"/>
    </row>
    <row r="207">
      <c r="A207" s="7"/>
      <c r="B207" s="96" t="s">
        <v>433</v>
      </c>
      <c r="C207" s="20">
        <f>-C63</f>
        <v>-1514994.822</v>
      </c>
      <c r="D207" s="20">
        <v>0.0</v>
      </c>
      <c r="E207" s="20">
        <v>0.0</v>
      </c>
      <c r="F207" s="20">
        <v>0.0</v>
      </c>
      <c r="G207" s="20">
        <v>0.0</v>
      </c>
      <c r="H207" s="20">
        <v>0.0</v>
      </c>
      <c r="I207" s="20">
        <v>0.0</v>
      </c>
      <c r="J207" s="20">
        <v>0.0</v>
      </c>
      <c r="K207" s="20">
        <v>0.0</v>
      </c>
      <c r="L207" s="20">
        <v>0.0</v>
      </c>
      <c r="M207" s="20">
        <v>0.0</v>
      </c>
      <c r="N207" s="7"/>
    </row>
    <row r="208">
      <c r="A208" s="2"/>
      <c r="B208" s="92" t="s">
        <v>434</v>
      </c>
      <c r="C208" s="26">
        <v>0.0</v>
      </c>
      <c r="D208" s="26">
        <f t="shared" ref="D208:M208" si="57">-D169</f>
        <v>-695220.0628</v>
      </c>
      <c r="E208" s="26">
        <f t="shared" si="57"/>
        <v>-643366.6327</v>
      </c>
      <c r="F208" s="26">
        <f t="shared" si="57"/>
        <v>-591513.2026</v>
      </c>
      <c r="G208" s="26">
        <f t="shared" si="57"/>
        <v>-539659.7725</v>
      </c>
      <c r="H208" s="26">
        <f t="shared" si="57"/>
        <v>-487806.3424</v>
      </c>
      <c r="I208" s="26">
        <f t="shared" si="57"/>
        <v>-435952.9123</v>
      </c>
      <c r="J208" s="26">
        <f t="shared" si="57"/>
        <v>0</v>
      </c>
      <c r="K208" s="26">
        <f t="shared" si="57"/>
        <v>0</v>
      </c>
      <c r="L208" s="26">
        <f t="shared" si="57"/>
        <v>0</v>
      </c>
      <c r="M208" s="26">
        <f t="shared" si="57"/>
        <v>0</v>
      </c>
      <c r="N208" s="2"/>
    </row>
    <row r="209">
      <c r="A209" s="7"/>
      <c r="B209" s="163" t="s">
        <v>435</v>
      </c>
      <c r="C209" s="34">
        <f t="shared" ref="C209:M209" si="58">C204+C205+C206+C207+C208</f>
        <v>-5355989.644</v>
      </c>
      <c r="D209" s="34">
        <f t="shared" si="58"/>
        <v>2789311.566</v>
      </c>
      <c r="E209" s="34">
        <f t="shared" si="58"/>
        <v>4583430.811</v>
      </c>
      <c r="F209" s="34">
        <f t="shared" si="58"/>
        <v>6377550.055</v>
      </c>
      <c r="G209" s="34">
        <f t="shared" si="58"/>
        <v>6429403.485</v>
      </c>
      <c r="H209" s="34">
        <f t="shared" si="58"/>
        <v>6481256.915</v>
      </c>
      <c r="I209" s="34">
        <f t="shared" si="58"/>
        <v>6533110.345</v>
      </c>
      <c r="J209" s="34">
        <f t="shared" si="58"/>
        <v>6969063.258</v>
      </c>
      <c r="K209" s="34">
        <f t="shared" si="58"/>
        <v>6969063.258</v>
      </c>
      <c r="L209" s="34">
        <f t="shared" si="58"/>
        <v>6969063.258</v>
      </c>
      <c r="M209" s="34">
        <f t="shared" si="58"/>
        <v>-6459270.371</v>
      </c>
      <c r="N209" s="7"/>
    </row>
    <row r="210">
      <c r="A210" s="2"/>
      <c r="B210" s="92" t="s">
        <v>436</v>
      </c>
      <c r="C210" s="26">
        <f>C209</f>
        <v>-5355989.644</v>
      </c>
      <c r="D210" s="26">
        <f t="shared" ref="D210:M210" si="59">C210+D209</f>
        <v>-2566678.078</v>
      </c>
      <c r="E210" s="26">
        <f t="shared" si="59"/>
        <v>2016752.733</v>
      </c>
      <c r="F210" s="26">
        <f t="shared" si="59"/>
        <v>8394302.788</v>
      </c>
      <c r="G210" s="26">
        <f t="shared" si="59"/>
        <v>14823706.27</v>
      </c>
      <c r="H210" s="26">
        <f t="shared" si="59"/>
        <v>21304963.19</v>
      </c>
      <c r="I210" s="26">
        <f t="shared" si="59"/>
        <v>27838073.53</v>
      </c>
      <c r="J210" s="26">
        <f t="shared" si="59"/>
        <v>34807136.79</v>
      </c>
      <c r="K210" s="26">
        <f t="shared" si="59"/>
        <v>41776200.05</v>
      </c>
      <c r="L210" s="26">
        <f t="shared" si="59"/>
        <v>48745263.31</v>
      </c>
      <c r="M210" s="26">
        <f t="shared" si="59"/>
        <v>42285992.94</v>
      </c>
      <c r="N210" s="2"/>
    </row>
    <row r="211">
      <c r="A211" s="7"/>
      <c r="B211" s="13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</row>
    <row r="212">
      <c r="A212" s="53"/>
      <c r="B212" s="167" t="s">
        <v>437</v>
      </c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5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>
      <c r="A213" s="53"/>
      <c r="B213" s="141" t="s">
        <v>340</v>
      </c>
      <c r="C213" s="54" t="s">
        <v>418</v>
      </c>
      <c r="D213" s="54" t="s">
        <v>380</v>
      </c>
      <c r="E213" s="54" t="s">
        <v>381</v>
      </c>
      <c r="F213" s="54" t="s">
        <v>382</v>
      </c>
      <c r="G213" s="54" t="s">
        <v>383</v>
      </c>
      <c r="H213" s="54" t="s">
        <v>384</v>
      </c>
      <c r="I213" s="54" t="s">
        <v>385</v>
      </c>
      <c r="J213" s="54" t="s">
        <v>386</v>
      </c>
      <c r="K213" s="54" t="s">
        <v>387</v>
      </c>
      <c r="L213" s="54" t="s">
        <v>388</v>
      </c>
      <c r="M213" s="54" t="s">
        <v>389</v>
      </c>
      <c r="N213" s="142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ht="18.75" customHeight="1">
      <c r="A214" s="160"/>
      <c r="B214" s="170" t="s">
        <v>393</v>
      </c>
      <c r="C214" s="162">
        <v>0.0</v>
      </c>
      <c r="D214" s="162">
        <f t="shared" ref="D214:M214" si="60">C122</f>
        <v>4978438.254</v>
      </c>
      <c r="E214" s="162">
        <f t="shared" si="60"/>
        <v>7467657.382</v>
      </c>
      <c r="F214" s="162">
        <f t="shared" si="60"/>
        <v>9956876.509</v>
      </c>
      <c r="G214" s="162">
        <f t="shared" si="60"/>
        <v>9956876.509</v>
      </c>
      <c r="H214" s="162">
        <f t="shared" si="60"/>
        <v>9956876.509</v>
      </c>
      <c r="I214" s="162">
        <f t="shared" si="60"/>
        <v>9956876.509</v>
      </c>
      <c r="J214" s="162">
        <f t="shared" si="60"/>
        <v>9956876.509</v>
      </c>
      <c r="K214" s="162">
        <f t="shared" si="60"/>
        <v>9956876.509</v>
      </c>
      <c r="L214" s="162">
        <f t="shared" si="60"/>
        <v>9956876.509</v>
      </c>
      <c r="M214" s="162">
        <f t="shared" si="60"/>
        <v>9956876.509</v>
      </c>
      <c r="N214" s="160"/>
    </row>
    <row r="215">
      <c r="A215" s="7"/>
      <c r="B215" s="96" t="s">
        <v>431</v>
      </c>
      <c r="C215" s="20">
        <f>-C64</f>
        <v>-3840994.822</v>
      </c>
      <c r="D215" s="20">
        <v>0.0</v>
      </c>
      <c r="E215" s="20">
        <v>0.0</v>
      </c>
      <c r="F215" s="20">
        <v>0.0</v>
      </c>
      <c r="G215" s="20">
        <v>0.0</v>
      </c>
      <c r="H215" s="20">
        <v>0.0</v>
      </c>
      <c r="I215" s="20">
        <v>0.0</v>
      </c>
      <c r="J215" s="20">
        <v>0.0</v>
      </c>
      <c r="K215" s="20">
        <v>0.0</v>
      </c>
      <c r="L215" s="20">
        <v>0.0</v>
      </c>
      <c r="M215" s="20">
        <v>0.0</v>
      </c>
      <c r="N215" s="7"/>
    </row>
    <row r="216">
      <c r="A216" s="2"/>
      <c r="B216" s="92" t="s">
        <v>432</v>
      </c>
      <c r="C216" s="26">
        <v>0.0</v>
      </c>
      <c r="D216" s="26">
        <v>0.0</v>
      </c>
      <c r="E216" s="26">
        <v>0.0</v>
      </c>
      <c r="F216" s="26">
        <v>0.0</v>
      </c>
      <c r="G216" s="26">
        <v>0.0</v>
      </c>
      <c r="H216" s="26">
        <v>0.0</v>
      </c>
      <c r="I216" s="26">
        <v>0.0</v>
      </c>
      <c r="J216" s="26">
        <v>0.0</v>
      </c>
      <c r="K216" s="26">
        <v>0.0</v>
      </c>
      <c r="L216" s="26">
        <v>0.0</v>
      </c>
      <c r="M216" s="26">
        <v>0.0</v>
      </c>
      <c r="N216" s="2"/>
    </row>
    <row r="217">
      <c r="A217" s="7"/>
      <c r="B217" s="96" t="s">
        <v>433</v>
      </c>
      <c r="C217" s="20">
        <f>-C63</f>
        <v>-1514994.822</v>
      </c>
      <c r="D217" s="20">
        <v>0.0</v>
      </c>
      <c r="E217" s="20">
        <v>0.0</v>
      </c>
      <c r="F217" s="20">
        <v>0.0</v>
      </c>
      <c r="G217" s="20">
        <v>0.0</v>
      </c>
      <c r="H217" s="20">
        <v>0.0</v>
      </c>
      <c r="I217" s="20">
        <v>0.0</v>
      </c>
      <c r="J217" s="20">
        <v>0.0</v>
      </c>
      <c r="K217" s="20">
        <v>0.0</v>
      </c>
      <c r="L217" s="20">
        <v>0.0</v>
      </c>
      <c r="M217" s="20">
        <v>0.0</v>
      </c>
      <c r="N217" s="7"/>
    </row>
    <row r="218">
      <c r="A218" s="2"/>
      <c r="B218" s="92" t="s">
        <v>434</v>
      </c>
      <c r="C218" s="26">
        <v>0.0</v>
      </c>
      <c r="D218" s="26">
        <f t="shared" ref="D218:M218" si="61">-D183</f>
        <v>-695220.0628</v>
      </c>
      <c r="E218" s="26">
        <f t="shared" si="61"/>
        <v>-643366.6327</v>
      </c>
      <c r="F218" s="26">
        <f t="shared" si="61"/>
        <v>-591513.2026</v>
      </c>
      <c r="G218" s="26">
        <f t="shared" si="61"/>
        <v>-539659.7725</v>
      </c>
      <c r="H218" s="26">
        <f t="shared" si="61"/>
        <v>-487806.3424</v>
      </c>
      <c r="I218" s="26">
        <f t="shared" si="61"/>
        <v>-435952.9123</v>
      </c>
      <c r="J218" s="26">
        <f t="shared" si="61"/>
        <v>0</v>
      </c>
      <c r="K218" s="26">
        <f t="shared" si="61"/>
        <v>0</v>
      </c>
      <c r="L218" s="26">
        <f t="shared" si="61"/>
        <v>0</v>
      </c>
      <c r="M218" s="26">
        <f t="shared" si="61"/>
        <v>0</v>
      </c>
      <c r="N218" s="2"/>
    </row>
    <row r="219">
      <c r="A219" s="7"/>
      <c r="B219" s="163" t="s">
        <v>435</v>
      </c>
      <c r="C219" s="34">
        <f t="shared" ref="C219:M219" si="62">C214+C215+C216+C217+C218</f>
        <v>-5355989.644</v>
      </c>
      <c r="D219" s="34">
        <f t="shared" si="62"/>
        <v>4283218.192</v>
      </c>
      <c r="E219" s="34">
        <f t="shared" si="62"/>
        <v>6824290.749</v>
      </c>
      <c r="F219" s="34">
        <f t="shared" si="62"/>
        <v>9365363.306</v>
      </c>
      <c r="G219" s="34">
        <f t="shared" si="62"/>
        <v>9417216.736</v>
      </c>
      <c r="H219" s="34">
        <f t="shared" si="62"/>
        <v>9469070.166</v>
      </c>
      <c r="I219" s="34">
        <f t="shared" si="62"/>
        <v>9520923.597</v>
      </c>
      <c r="J219" s="34">
        <f t="shared" si="62"/>
        <v>9956876.509</v>
      </c>
      <c r="K219" s="34">
        <f t="shared" si="62"/>
        <v>9956876.509</v>
      </c>
      <c r="L219" s="34">
        <f t="shared" si="62"/>
        <v>9956876.509</v>
      </c>
      <c r="M219" s="34">
        <f t="shared" si="62"/>
        <v>9956876.509</v>
      </c>
      <c r="N219" s="7"/>
    </row>
    <row r="220">
      <c r="A220" s="2"/>
      <c r="B220" s="92" t="s">
        <v>436</v>
      </c>
      <c r="C220" s="26">
        <f>C219</f>
        <v>-5355989.644</v>
      </c>
      <c r="D220" s="26">
        <f t="shared" ref="D220:M220" si="63">C220+D219</f>
        <v>-1072771.452</v>
      </c>
      <c r="E220" s="26">
        <f t="shared" si="63"/>
        <v>5751519.297</v>
      </c>
      <c r="F220" s="26">
        <f t="shared" si="63"/>
        <v>15116882.6</v>
      </c>
      <c r="G220" s="26">
        <f t="shared" si="63"/>
        <v>24534099.34</v>
      </c>
      <c r="H220" s="26">
        <f t="shared" si="63"/>
        <v>34003169.51</v>
      </c>
      <c r="I220" s="26">
        <f t="shared" si="63"/>
        <v>43524093.1</v>
      </c>
      <c r="J220" s="26">
        <f t="shared" si="63"/>
        <v>53480969.61</v>
      </c>
      <c r="K220" s="26">
        <f t="shared" si="63"/>
        <v>63437846.12</v>
      </c>
      <c r="L220" s="26">
        <f t="shared" si="63"/>
        <v>73394722.63</v>
      </c>
      <c r="M220" s="26">
        <f t="shared" si="63"/>
        <v>83351599.14</v>
      </c>
      <c r="N220" s="2"/>
    </row>
    <row r="221">
      <c r="A221" s="7"/>
      <c r="B221" s="13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</row>
    <row r="222">
      <c r="A222" s="155"/>
      <c r="B222" s="169" t="s">
        <v>438</v>
      </c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5"/>
      <c r="O222" s="155"/>
      <c r="P222" s="155"/>
      <c r="Q222" s="155"/>
      <c r="R222" s="155"/>
      <c r="S222" s="155"/>
      <c r="T222" s="155"/>
      <c r="U222" s="155"/>
      <c r="V222" s="155"/>
      <c r="W222" s="155"/>
      <c r="X222" s="155"/>
      <c r="Y222" s="155"/>
      <c r="Z222" s="155"/>
    </row>
    <row r="223">
      <c r="A223" s="155"/>
      <c r="B223" s="157" t="s">
        <v>340</v>
      </c>
      <c r="C223" s="158" t="s">
        <v>418</v>
      </c>
      <c r="D223" s="158" t="s">
        <v>380</v>
      </c>
      <c r="E223" s="158" t="s">
        <v>381</v>
      </c>
      <c r="F223" s="158" t="s">
        <v>382</v>
      </c>
      <c r="G223" s="158" t="s">
        <v>383</v>
      </c>
      <c r="H223" s="158" t="s">
        <v>384</v>
      </c>
      <c r="I223" s="158" t="s">
        <v>385</v>
      </c>
      <c r="J223" s="158" t="s">
        <v>386</v>
      </c>
      <c r="K223" s="158" t="s">
        <v>387</v>
      </c>
      <c r="L223" s="158" t="s">
        <v>388</v>
      </c>
      <c r="M223" s="158" t="s">
        <v>389</v>
      </c>
      <c r="N223" s="159"/>
      <c r="O223" s="155"/>
      <c r="P223" s="155"/>
      <c r="Q223" s="155"/>
      <c r="R223" s="155"/>
      <c r="S223" s="155"/>
      <c r="T223" s="155"/>
      <c r="U223" s="155"/>
      <c r="V223" s="155"/>
      <c r="W223" s="155"/>
      <c r="X223" s="155"/>
      <c r="Y223" s="155"/>
      <c r="Z223" s="155"/>
    </row>
    <row r="224" ht="18.75" customHeight="1">
      <c r="A224" s="160"/>
      <c r="B224" s="170" t="s">
        <v>393</v>
      </c>
      <c r="C224" s="162">
        <v>0.0</v>
      </c>
      <c r="D224" s="162">
        <f t="shared" ref="D224:M224" si="64">C140</f>
        <v>34515999.48</v>
      </c>
      <c r="E224" s="162">
        <f t="shared" si="64"/>
        <v>51773999.22</v>
      </c>
      <c r="F224" s="162">
        <f t="shared" si="64"/>
        <v>69031998.95</v>
      </c>
      <c r="G224" s="162">
        <f t="shared" si="64"/>
        <v>69031998.95</v>
      </c>
      <c r="H224" s="162">
        <f t="shared" si="64"/>
        <v>69031998.95</v>
      </c>
      <c r="I224" s="162">
        <f t="shared" si="64"/>
        <v>69031998.95</v>
      </c>
      <c r="J224" s="162">
        <f t="shared" si="64"/>
        <v>69031998.95</v>
      </c>
      <c r="K224" s="162">
        <f t="shared" si="64"/>
        <v>69031998.95</v>
      </c>
      <c r="L224" s="162">
        <f t="shared" si="64"/>
        <v>69031998.95</v>
      </c>
      <c r="M224" s="162">
        <f t="shared" si="64"/>
        <v>69031998.95</v>
      </c>
      <c r="N224" s="160"/>
    </row>
    <row r="225">
      <c r="A225" s="7"/>
      <c r="B225" s="96" t="s">
        <v>431</v>
      </c>
      <c r="C225" s="20">
        <f>-C64</f>
        <v>-3840994.822</v>
      </c>
      <c r="D225" s="20">
        <v>0.0</v>
      </c>
      <c r="E225" s="20">
        <v>0.0</v>
      </c>
      <c r="F225" s="20">
        <v>0.0</v>
      </c>
      <c r="G225" s="20">
        <v>0.0</v>
      </c>
      <c r="H225" s="20">
        <v>0.0</v>
      </c>
      <c r="I225" s="20">
        <v>0.0</v>
      </c>
      <c r="J225" s="20">
        <v>0.0</v>
      </c>
      <c r="K225" s="20">
        <v>0.0</v>
      </c>
      <c r="L225" s="20">
        <v>0.0</v>
      </c>
      <c r="M225" s="20">
        <v>0.0</v>
      </c>
      <c r="N225" s="7"/>
    </row>
    <row r="226">
      <c r="A226" s="2"/>
      <c r="B226" s="92" t="s">
        <v>432</v>
      </c>
      <c r="C226" s="26">
        <v>0.0</v>
      </c>
      <c r="D226" s="26">
        <v>0.0</v>
      </c>
      <c r="E226" s="26">
        <v>0.0</v>
      </c>
      <c r="F226" s="26">
        <v>0.0</v>
      </c>
      <c r="G226" s="26">
        <v>0.0</v>
      </c>
      <c r="H226" s="26">
        <v>0.0</v>
      </c>
      <c r="I226" s="26">
        <v>0.0</v>
      </c>
      <c r="J226" s="26">
        <v>0.0</v>
      </c>
      <c r="K226" s="26">
        <v>0.0</v>
      </c>
      <c r="L226" s="26">
        <v>0.0</v>
      </c>
      <c r="M226" s="26">
        <v>0.0</v>
      </c>
      <c r="N226" s="2"/>
    </row>
    <row r="227">
      <c r="A227" s="7"/>
      <c r="B227" s="96" t="s">
        <v>433</v>
      </c>
      <c r="C227" s="20">
        <f>-C63</f>
        <v>-1514994.822</v>
      </c>
      <c r="D227" s="20">
        <v>0.0</v>
      </c>
      <c r="E227" s="20">
        <v>0.0</v>
      </c>
      <c r="F227" s="20">
        <v>0.0</v>
      </c>
      <c r="G227" s="20">
        <v>0.0</v>
      </c>
      <c r="H227" s="20">
        <v>0.0</v>
      </c>
      <c r="I227" s="20">
        <v>0.0</v>
      </c>
      <c r="J227" s="20">
        <v>0.0</v>
      </c>
      <c r="K227" s="20">
        <v>0.0</v>
      </c>
      <c r="L227" s="20">
        <v>0.0</v>
      </c>
      <c r="M227" s="20">
        <v>0.0</v>
      </c>
      <c r="N227" s="7"/>
    </row>
    <row r="228">
      <c r="A228" s="2"/>
      <c r="B228" s="92" t="s">
        <v>434</v>
      </c>
      <c r="C228" s="26">
        <v>0.0</v>
      </c>
      <c r="D228" s="26">
        <f t="shared" ref="D228:M228" si="65">-D197</f>
        <v>-695220.0628</v>
      </c>
      <c r="E228" s="26">
        <f t="shared" si="65"/>
        <v>-643366.6327</v>
      </c>
      <c r="F228" s="26">
        <f t="shared" si="65"/>
        <v>-591513.2026</v>
      </c>
      <c r="G228" s="26">
        <f t="shared" si="65"/>
        <v>-539659.7725</v>
      </c>
      <c r="H228" s="26">
        <f t="shared" si="65"/>
        <v>-487806.3424</v>
      </c>
      <c r="I228" s="26">
        <f t="shared" si="65"/>
        <v>-435952.9123</v>
      </c>
      <c r="J228" s="26">
        <f t="shared" si="65"/>
        <v>0</v>
      </c>
      <c r="K228" s="26">
        <f t="shared" si="65"/>
        <v>0</v>
      </c>
      <c r="L228" s="26">
        <f t="shared" si="65"/>
        <v>0</v>
      </c>
      <c r="M228" s="26">
        <f t="shared" si="65"/>
        <v>0</v>
      </c>
      <c r="N228" s="2"/>
    </row>
    <row r="229">
      <c r="A229" s="7"/>
      <c r="B229" s="163" t="s">
        <v>435</v>
      </c>
      <c r="C229" s="34">
        <f t="shared" ref="C229:M229" si="66">C224+C225+C226+C227+C228</f>
        <v>-5355989.644</v>
      </c>
      <c r="D229" s="34">
        <f t="shared" si="66"/>
        <v>33820779.41</v>
      </c>
      <c r="E229" s="34">
        <f t="shared" si="66"/>
        <v>51130632.58</v>
      </c>
      <c r="F229" s="34">
        <f t="shared" si="66"/>
        <v>68440485.75</v>
      </c>
      <c r="G229" s="34">
        <f t="shared" si="66"/>
        <v>68492339.18</v>
      </c>
      <c r="H229" s="34">
        <f t="shared" si="66"/>
        <v>68544192.61</v>
      </c>
      <c r="I229" s="34">
        <f t="shared" si="66"/>
        <v>68596046.04</v>
      </c>
      <c r="J229" s="34">
        <f t="shared" si="66"/>
        <v>69031998.95</v>
      </c>
      <c r="K229" s="34">
        <f t="shared" si="66"/>
        <v>69031998.95</v>
      </c>
      <c r="L229" s="34">
        <f t="shared" si="66"/>
        <v>69031998.95</v>
      </c>
      <c r="M229" s="34">
        <f t="shared" si="66"/>
        <v>69031998.95</v>
      </c>
      <c r="N229" s="7"/>
    </row>
    <row r="230">
      <c r="A230" s="2"/>
      <c r="B230" s="92" t="s">
        <v>436</v>
      </c>
      <c r="C230" s="26">
        <f>C229</f>
        <v>-5355989.644</v>
      </c>
      <c r="D230" s="26">
        <f t="shared" ref="D230:M230" si="67">C230+D229</f>
        <v>28464789.77</v>
      </c>
      <c r="E230" s="26">
        <f t="shared" si="67"/>
        <v>79595422.35</v>
      </c>
      <c r="F230" s="26">
        <f t="shared" si="67"/>
        <v>148035908.1</v>
      </c>
      <c r="G230" s="26">
        <f t="shared" si="67"/>
        <v>216528247.3</v>
      </c>
      <c r="H230" s="26">
        <f t="shared" si="67"/>
        <v>285072439.9</v>
      </c>
      <c r="I230" s="26">
        <f t="shared" si="67"/>
        <v>353668485.9</v>
      </c>
      <c r="J230" s="26">
        <f t="shared" si="67"/>
        <v>422700484.9</v>
      </c>
      <c r="K230" s="26">
        <f t="shared" si="67"/>
        <v>491732483.8</v>
      </c>
      <c r="L230" s="26">
        <f t="shared" si="67"/>
        <v>560764482.8</v>
      </c>
      <c r="M230" s="26">
        <f t="shared" si="67"/>
        <v>629796481.8</v>
      </c>
      <c r="N230" s="2"/>
    </row>
    <row r="231">
      <c r="A231" s="7"/>
      <c r="B231" s="13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</row>
    <row r="232">
      <c r="A232" s="53"/>
      <c r="B232" s="139" t="s">
        <v>439</v>
      </c>
      <c r="C232" s="4"/>
      <c r="D232" s="4"/>
      <c r="E232" s="4"/>
      <c r="F232" s="4"/>
      <c r="G232" s="4"/>
      <c r="H232" s="5"/>
      <c r="I232" s="140"/>
      <c r="J232" s="140"/>
      <c r="K232" s="140"/>
      <c r="L232" s="140"/>
      <c r="M232" s="140"/>
      <c r="N232" s="140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>
      <c r="A233" s="53"/>
      <c r="B233" s="167" t="s">
        <v>440</v>
      </c>
      <c r="C233" s="4"/>
      <c r="D233" s="4"/>
      <c r="E233" s="4"/>
      <c r="F233" s="4"/>
      <c r="G233" s="4"/>
      <c r="H233" s="5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>
      <c r="A234" s="53"/>
      <c r="B234" s="141" t="s">
        <v>340</v>
      </c>
      <c r="C234" s="54" t="s">
        <v>418</v>
      </c>
      <c r="D234" s="54" t="s">
        <v>382</v>
      </c>
      <c r="E234" s="54" t="s">
        <v>384</v>
      </c>
      <c r="F234" s="54" t="s">
        <v>389</v>
      </c>
      <c r="G234" s="142"/>
      <c r="H234" s="142"/>
      <c r="I234" s="142"/>
      <c r="J234" s="142"/>
      <c r="K234" s="142"/>
      <c r="L234" s="142"/>
      <c r="M234" s="142"/>
      <c r="N234" s="142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>
      <c r="A235" s="7"/>
      <c r="B235" s="163" t="s">
        <v>441</v>
      </c>
      <c r="C235" s="131"/>
      <c r="D235" s="131"/>
      <c r="E235" s="131"/>
      <c r="F235" s="131"/>
      <c r="G235" s="7"/>
      <c r="H235" s="7"/>
      <c r="I235" s="7"/>
      <c r="J235" s="7"/>
      <c r="K235" s="7"/>
      <c r="L235" s="7"/>
      <c r="M235" s="7"/>
      <c r="N235" s="7"/>
    </row>
    <row r="236">
      <c r="A236" s="2"/>
      <c r="B236" s="92" t="s">
        <v>442</v>
      </c>
      <c r="C236" s="26">
        <f>C60+C61</f>
        <v>2271000</v>
      </c>
      <c r="D236" s="26">
        <f>C236-E156*3</f>
        <v>1619700</v>
      </c>
      <c r="E236" s="26">
        <f>C236-E156*5</f>
        <v>1185500</v>
      </c>
      <c r="F236" s="26">
        <f>MAX(0,C236-E156*10)</f>
        <v>100000</v>
      </c>
      <c r="G236" s="2"/>
      <c r="H236" s="2"/>
      <c r="I236" s="2"/>
      <c r="J236" s="2"/>
      <c r="K236" s="2"/>
      <c r="L236" s="2"/>
      <c r="M236" s="2"/>
      <c r="N236" s="2"/>
    </row>
    <row r="237">
      <c r="A237" s="7"/>
      <c r="B237" s="96" t="s">
        <v>443</v>
      </c>
      <c r="C237" s="20">
        <f>C63</f>
        <v>1514994.822</v>
      </c>
      <c r="D237" s="20">
        <f>C63</f>
        <v>1514994.822</v>
      </c>
      <c r="E237" s="20">
        <f>C63</f>
        <v>1514994.822</v>
      </c>
      <c r="F237" s="20">
        <f>C63</f>
        <v>1514994.822</v>
      </c>
      <c r="G237" s="7"/>
      <c r="H237" s="7"/>
      <c r="I237" s="7"/>
      <c r="J237" s="7"/>
      <c r="K237" s="7"/>
      <c r="L237" s="7"/>
      <c r="M237" s="7"/>
      <c r="N237" s="7"/>
    </row>
    <row r="238">
      <c r="A238" s="2"/>
      <c r="B238" s="152" t="s">
        <v>444</v>
      </c>
      <c r="C238" s="22">
        <f t="shared" ref="C238:F238" si="68">C236+C237</f>
        <v>3785994.822</v>
      </c>
      <c r="D238" s="22">
        <f t="shared" si="68"/>
        <v>3134694.822</v>
      </c>
      <c r="E238" s="22">
        <f t="shared" si="68"/>
        <v>2700494.822</v>
      </c>
      <c r="F238" s="22">
        <f t="shared" si="68"/>
        <v>1614994.822</v>
      </c>
      <c r="G238" s="2"/>
      <c r="H238" s="2"/>
      <c r="I238" s="2"/>
      <c r="J238" s="2"/>
      <c r="K238" s="2"/>
      <c r="L238" s="2"/>
      <c r="M238" s="2"/>
      <c r="N238" s="2"/>
    </row>
    <row r="239">
      <c r="A239" s="7"/>
      <c r="B239" s="13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</row>
    <row r="240">
      <c r="A240" s="2"/>
      <c r="B240" s="152" t="s">
        <v>445</v>
      </c>
      <c r="C240" s="130"/>
      <c r="D240" s="130"/>
      <c r="E240" s="130"/>
      <c r="F240" s="130"/>
      <c r="G240" s="2"/>
      <c r="H240" s="2"/>
      <c r="I240" s="2"/>
      <c r="J240" s="2"/>
      <c r="K240" s="2"/>
      <c r="L240" s="2"/>
      <c r="M240" s="2"/>
      <c r="N240" s="2"/>
    </row>
    <row r="241">
      <c r="A241" s="7"/>
      <c r="B241" s="96" t="s">
        <v>446</v>
      </c>
      <c r="C241" s="20">
        <f>C170</f>
        <v>2304596.893</v>
      </c>
      <c r="D241" s="20">
        <f>F170</f>
        <v>1152298.447</v>
      </c>
      <c r="E241" s="20">
        <f>H170</f>
        <v>384099.4822</v>
      </c>
      <c r="F241" s="20">
        <f>M170</f>
        <v>0</v>
      </c>
      <c r="G241" s="7"/>
      <c r="H241" s="7"/>
      <c r="I241" s="7"/>
      <c r="J241" s="7"/>
      <c r="K241" s="7"/>
      <c r="L241" s="7"/>
      <c r="M241" s="7"/>
      <c r="N241" s="7"/>
    </row>
    <row r="242">
      <c r="A242" s="2"/>
      <c r="B242" s="92" t="s">
        <v>447</v>
      </c>
      <c r="C242" s="26">
        <f t="shared" ref="C242:F242" si="69">C238-C241</f>
        <v>1481397.929</v>
      </c>
      <c r="D242" s="26">
        <f t="shared" si="69"/>
        <v>1982396.375</v>
      </c>
      <c r="E242" s="26">
        <f t="shared" si="69"/>
        <v>2316395.34</v>
      </c>
      <c r="F242" s="26">
        <f t="shared" si="69"/>
        <v>1614994.822</v>
      </c>
      <c r="G242" s="2"/>
      <c r="H242" s="2"/>
      <c r="I242" s="2"/>
      <c r="J242" s="2"/>
      <c r="K242" s="2"/>
      <c r="L242" s="2"/>
      <c r="M242" s="2"/>
      <c r="N242" s="2"/>
    </row>
    <row r="243">
      <c r="A243" s="7"/>
      <c r="B243" s="163" t="s">
        <v>448</v>
      </c>
      <c r="C243" s="34">
        <f t="shared" ref="C243:F243" si="70">C241+C242</f>
        <v>3785994.822</v>
      </c>
      <c r="D243" s="34">
        <f t="shared" si="70"/>
        <v>3134694.822</v>
      </c>
      <c r="E243" s="34">
        <f t="shared" si="70"/>
        <v>2700494.822</v>
      </c>
      <c r="F243" s="34">
        <f t="shared" si="70"/>
        <v>1614994.822</v>
      </c>
      <c r="G243" s="7"/>
      <c r="H243" s="7"/>
      <c r="I243" s="7"/>
      <c r="J243" s="7"/>
      <c r="K243" s="7"/>
      <c r="L243" s="7"/>
      <c r="M243" s="7"/>
      <c r="N243" s="7"/>
    </row>
    <row r="244">
      <c r="A244" s="2"/>
      <c r="B244" s="171" t="s">
        <v>449</v>
      </c>
      <c r="C244" s="172" t="str">
        <f t="shared" ref="C244:F244" si="71">IF(ABS(C238-C243)&lt;1,"OK","ERROR")</f>
        <v>OK</v>
      </c>
      <c r="D244" s="172" t="str">
        <f t="shared" si="71"/>
        <v>OK</v>
      </c>
      <c r="E244" s="172" t="str">
        <f t="shared" si="71"/>
        <v>OK</v>
      </c>
      <c r="F244" s="172" t="str">
        <f t="shared" si="71"/>
        <v>OK</v>
      </c>
      <c r="G244" s="2"/>
      <c r="H244" s="2"/>
      <c r="I244" s="2"/>
      <c r="J244" s="2"/>
      <c r="K244" s="2"/>
      <c r="L244" s="2"/>
      <c r="M244" s="2"/>
      <c r="N244" s="2"/>
    </row>
    <row r="245">
      <c r="A245" s="7"/>
      <c r="B245" s="13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</row>
    <row r="246">
      <c r="A246" s="155"/>
      <c r="B246" s="169" t="s">
        <v>450</v>
      </c>
      <c r="C246" s="4"/>
      <c r="D246" s="4"/>
      <c r="E246" s="4"/>
      <c r="F246" s="4"/>
      <c r="G246" s="4"/>
      <c r="H246" s="5"/>
      <c r="I246" s="155"/>
      <c r="J246" s="155"/>
      <c r="K246" s="155"/>
      <c r="L246" s="155"/>
      <c r="M246" s="155"/>
      <c r="N246" s="155"/>
      <c r="O246" s="155"/>
      <c r="P246" s="155"/>
      <c r="Q246" s="155"/>
      <c r="R246" s="155"/>
      <c r="S246" s="155"/>
      <c r="T246" s="155"/>
      <c r="U246" s="155"/>
      <c r="V246" s="155"/>
      <c r="W246" s="155"/>
      <c r="X246" s="155"/>
      <c r="Y246" s="155"/>
      <c r="Z246" s="155"/>
    </row>
    <row r="247">
      <c r="A247" s="155"/>
      <c r="B247" s="157" t="s">
        <v>340</v>
      </c>
      <c r="C247" s="158" t="s">
        <v>418</v>
      </c>
      <c r="D247" s="158" t="s">
        <v>382</v>
      </c>
      <c r="E247" s="158" t="s">
        <v>384</v>
      </c>
      <c r="F247" s="158" t="s">
        <v>389</v>
      </c>
      <c r="G247" s="159"/>
      <c r="H247" s="159"/>
      <c r="I247" s="159"/>
      <c r="J247" s="159"/>
      <c r="K247" s="159"/>
      <c r="L247" s="159"/>
      <c r="M247" s="159"/>
      <c r="N247" s="159"/>
      <c r="O247" s="155"/>
      <c r="P247" s="155"/>
      <c r="Q247" s="155"/>
      <c r="R247" s="155"/>
      <c r="S247" s="155"/>
      <c r="T247" s="155"/>
      <c r="U247" s="155"/>
      <c r="V247" s="155"/>
      <c r="W247" s="155"/>
      <c r="X247" s="155"/>
      <c r="Y247" s="155"/>
      <c r="Z247" s="155"/>
    </row>
    <row r="248">
      <c r="A248" s="2"/>
      <c r="B248" s="152" t="s">
        <v>441</v>
      </c>
      <c r="C248" s="130"/>
      <c r="D248" s="130"/>
      <c r="E248" s="130"/>
      <c r="F248" s="130"/>
      <c r="G248" s="2"/>
      <c r="H248" s="2"/>
      <c r="I248" s="2"/>
      <c r="J248" s="2"/>
      <c r="K248" s="2"/>
      <c r="L248" s="2"/>
      <c r="M248" s="2"/>
      <c r="N248" s="2"/>
    </row>
    <row r="249">
      <c r="A249" s="7"/>
      <c r="B249" s="96" t="s">
        <v>442</v>
      </c>
      <c r="C249" s="20">
        <f>C60+C61</f>
        <v>2271000</v>
      </c>
      <c r="D249" s="20">
        <f>C249-E156*3</f>
        <v>1619700</v>
      </c>
      <c r="E249" s="20">
        <f>C249-E156*5</f>
        <v>1185500</v>
      </c>
      <c r="F249" s="20">
        <f>MAX(0,C249-E156*10)</f>
        <v>100000</v>
      </c>
      <c r="G249" s="7"/>
      <c r="H249" s="7"/>
      <c r="I249" s="7"/>
      <c r="J249" s="7"/>
      <c r="K249" s="7"/>
      <c r="L249" s="7"/>
      <c r="M249" s="7"/>
      <c r="N249" s="7"/>
    </row>
    <row r="250">
      <c r="A250" s="2"/>
      <c r="B250" s="92" t="s">
        <v>443</v>
      </c>
      <c r="C250" s="26">
        <f>C63</f>
        <v>1514994.822</v>
      </c>
      <c r="D250" s="26">
        <f>C63</f>
        <v>1514994.822</v>
      </c>
      <c r="E250" s="26">
        <f>C63</f>
        <v>1514994.822</v>
      </c>
      <c r="F250" s="26">
        <f>C63</f>
        <v>1514994.822</v>
      </c>
      <c r="G250" s="2"/>
      <c r="H250" s="2"/>
      <c r="I250" s="2"/>
      <c r="J250" s="2"/>
      <c r="K250" s="2"/>
      <c r="L250" s="2"/>
      <c r="M250" s="2"/>
      <c r="N250" s="2"/>
    </row>
    <row r="251">
      <c r="A251" s="7"/>
      <c r="B251" s="163" t="s">
        <v>444</v>
      </c>
      <c r="C251" s="34">
        <f t="shared" ref="C251:F251" si="72">C249+C250</f>
        <v>3785994.822</v>
      </c>
      <c r="D251" s="34">
        <f t="shared" si="72"/>
        <v>3134694.822</v>
      </c>
      <c r="E251" s="34">
        <f t="shared" si="72"/>
        <v>2700494.822</v>
      </c>
      <c r="F251" s="34">
        <f t="shared" si="72"/>
        <v>1614994.822</v>
      </c>
      <c r="G251" s="7"/>
      <c r="H251" s="7"/>
      <c r="I251" s="7"/>
      <c r="J251" s="7"/>
      <c r="K251" s="7"/>
      <c r="L251" s="7"/>
      <c r="M251" s="7"/>
      <c r="N251" s="7"/>
    </row>
    <row r="252">
      <c r="A252" s="2"/>
      <c r="B252" s="11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</row>
    <row r="253">
      <c r="A253" s="7"/>
      <c r="B253" s="163" t="s">
        <v>445</v>
      </c>
      <c r="C253" s="131"/>
      <c r="D253" s="131"/>
      <c r="E253" s="131"/>
      <c r="F253" s="131"/>
      <c r="G253" s="7"/>
      <c r="H253" s="7"/>
      <c r="I253" s="7"/>
      <c r="J253" s="7"/>
      <c r="K253" s="7"/>
      <c r="L253" s="7"/>
      <c r="M253" s="7"/>
      <c r="N253" s="7"/>
    </row>
    <row r="254">
      <c r="A254" s="2"/>
      <c r="B254" s="92" t="s">
        <v>446</v>
      </c>
      <c r="C254" s="26">
        <f>C184</f>
        <v>2304596.893</v>
      </c>
      <c r="D254" s="26">
        <f>F184</f>
        <v>1152298.447</v>
      </c>
      <c r="E254" s="26">
        <f>H184</f>
        <v>384099.4822</v>
      </c>
      <c r="F254" s="26">
        <f>M184</f>
        <v>0</v>
      </c>
      <c r="G254" s="2"/>
      <c r="H254" s="2"/>
      <c r="I254" s="2"/>
      <c r="J254" s="2"/>
      <c r="K254" s="2"/>
      <c r="L254" s="2"/>
      <c r="M254" s="2"/>
      <c r="N254" s="2"/>
    </row>
    <row r="255">
      <c r="A255" s="7"/>
      <c r="B255" s="96" t="s">
        <v>447</v>
      </c>
      <c r="C255" s="20">
        <f t="shared" ref="C255:F255" si="73">C251-C254</f>
        <v>1481397.929</v>
      </c>
      <c r="D255" s="20">
        <f t="shared" si="73"/>
        <v>1982396.375</v>
      </c>
      <c r="E255" s="20">
        <f t="shared" si="73"/>
        <v>2316395.34</v>
      </c>
      <c r="F255" s="20">
        <f t="shared" si="73"/>
        <v>1614994.822</v>
      </c>
      <c r="G255" s="7"/>
      <c r="H255" s="7"/>
      <c r="I255" s="7"/>
      <c r="J255" s="7"/>
      <c r="K255" s="7"/>
      <c r="L255" s="7"/>
      <c r="M255" s="7"/>
      <c r="N255" s="7"/>
    </row>
    <row r="256">
      <c r="A256" s="2"/>
      <c r="B256" s="152" t="s">
        <v>448</v>
      </c>
      <c r="C256" s="22">
        <f t="shared" ref="C256:F256" si="74">C254+C255</f>
        <v>3785994.822</v>
      </c>
      <c r="D256" s="22">
        <f t="shared" si="74"/>
        <v>3134694.822</v>
      </c>
      <c r="E256" s="22">
        <f t="shared" si="74"/>
        <v>2700494.822</v>
      </c>
      <c r="F256" s="22">
        <f t="shared" si="74"/>
        <v>1614994.822</v>
      </c>
      <c r="G256" s="2"/>
      <c r="H256" s="2"/>
      <c r="I256" s="2"/>
      <c r="J256" s="2"/>
      <c r="K256" s="2"/>
      <c r="L256" s="2"/>
      <c r="M256" s="2"/>
      <c r="N256" s="2"/>
    </row>
    <row r="257">
      <c r="A257" s="7"/>
      <c r="B257" s="173" t="s">
        <v>449</v>
      </c>
      <c r="C257" s="174" t="str">
        <f t="shared" ref="C257:F257" si="75">IF(ABS(C251-C256)&lt;1,"OK","ERROR")</f>
        <v>OK</v>
      </c>
      <c r="D257" s="174" t="str">
        <f t="shared" si="75"/>
        <v>OK</v>
      </c>
      <c r="E257" s="174" t="str">
        <f t="shared" si="75"/>
        <v>OK</v>
      </c>
      <c r="F257" s="174" t="str">
        <f t="shared" si="75"/>
        <v>OK</v>
      </c>
      <c r="G257" s="7"/>
      <c r="H257" s="7"/>
      <c r="I257" s="7"/>
      <c r="J257" s="7"/>
      <c r="K257" s="7"/>
      <c r="L257" s="7"/>
      <c r="M257" s="7"/>
      <c r="N257" s="7"/>
    </row>
    <row r="258">
      <c r="A258" s="2"/>
      <c r="B258" s="11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</row>
    <row r="259">
      <c r="A259" s="53"/>
      <c r="B259" s="167" t="s">
        <v>451</v>
      </c>
      <c r="C259" s="4"/>
      <c r="D259" s="4"/>
      <c r="E259" s="4"/>
      <c r="F259" s="4"/>
      <c r="G259" s="4"/>
      <c r="H259" s="5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>
      <c r="A260" s="53"/>
      <c r="B260" s="141" t="s">
        <v>340</v>
      </c>
      <c r="C260" s="54" t="s">
        <v>418</v>
      </c>
      <c r="D260" s="54" t="s">
        <v>382</v>
      </c>
      <c r="E260" s="54" t="s">
        <v>384</v>
      </c>
      <c r="F260" s="54" t="s">
        <v>389</v>
      </c>
      <c r="G260" s="142"/>
      <c r="H260" s="142"/>
      <c r="I260" s="142"/>
      <c r="J260" s="142"/>
      <c r="K260" s="142"/>
      <c r="L260" s="142"/>
      <c r="M260" s="142"/>
      <c r="N260" s="142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>
      <c r="A261" s="7"/>
      <c r="B261" s="163" t="s">
        <v>441</v>
      </c>
      <c r="C261" s="131"/>
      <c r="D261" s="131"/>
      <c r="E261" s="131"/>
      <c r="F261" s="131"/>
      <c r="G261" s="7"/>
      <c r="H261" s="7"/>
      <c r="I261" s="7"/>
      <c r="J261" s="7"/>
      <c r="K261" s="7"/>
      <c r="L261" s="7"/>
      <c r="M261" s="7"/>
      <c r="N261" s="7"/>
    </row>
    <row r="262">
      <c r="A262" s="2"/>
      <c r="B262" s="92" t="s">
        <v>442</v>
      </c>
      <c r="C262" s="26">
        <f>C60+C61</f>
        <v>2271000</v>
      </c>
      <c r="D262" s="26">
        <f>C262-E156*3</f>
        <v>1619700</v>
      </c>
      <c r="E262" s="26">
        <f>C262-E156*5</f>
        <v>1185500</v>
      </c>
      <c r="F262" s="26">
        <f>MAX(0,C262-E156*10)</f>
        <v>100000</v>
      </c>
      <c r="G262" s="2"/>
      <c r="H262" s="2"/>
      <c r="I262" s="2"/>
      <c r="J262" s="2"/>
      <c r="K262" s="2"/>
      <c r="L262" s="2"/>
      <c r="M262" s="2"/>
      <c r="N262" s="2"/>
    </row>
    <row r="263">
      <c r="A263" s="7"/>
      <c r="B263" s="96" t="s">
        <v>443</v>
      </c>
      <c r="C263" s="20">
        <f>C63</f>
        <v>1514994.822</v>
      </c>
      <c r="D263" s="20">
        <f>C63</f>
        <v>1514994.822</v>
      </c>
      <c r="E263" s="20">
        <f>C63</f>
        <v>1514994.822</v>
      </c>
      <c r="F263" s="20">
        <f>C63</f>
        <v>1514994.822</v>
      </c>
      <c r="G263" s="7"/>
      <c r="H263" s="7"/>
      <c r="I263" s="7"/>
      <c r="J263" s="7"/>
      <c r="K263" s="7"/>
      <c r="L263" s="7"/>
      <c r="M263" s="7"/>
      <c r="N263" s="7"/>
    </row>
    <row r="264">
      <c r="A264" s="2"/>
      <c r="B264" s="152" t="s">
        <v>444</v>
      </c>
      <c r="C264" s="22">
        <f t="shared" ref="C264:F264" si="76">C262+C263</f>
        <v>3785994.822</v>
      </c>
      <c r="D264" s="22">
        <f t="shared" si="76"/>
        <v>3134694.822</v>
      </c>
      <c r="E264" s="22">
        <f t="shared" si="76"/>
        <v>2700494.822</v>
      </c>
      <c r="F264" s="22">
        <f t="shared" si="76"/>
        <v>1614994.822</v>
      </c>
      <c r="G264" s="2"/>
      <c r="H264" s="2"/>
      <c r="I264" s="2"/>
      <c r="J264" s="2"/>
      <c r="K264" s="2"/>
      <c r="L264" s="2"/>
      <c r="M264" s="2"/>
      <c r="N264" s="2"/>
    </row>
    <row r="265">
      <c r="A265" s="7"/>
      <c r="B265" s="13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</row>
    <row r="266">
      <c r="A266" s="2"/>
      <c r="B266" s="152" t="s">
        <v>445</v>
      </c>
      <c r="C266" s="130"/>
      <c r="D266" s="130"/>
      <c r="E266" s="130"/>
      <c r="F266" s="130"/>
      <c r="G266" s="2"/>
      <c r="H266" s="2"/>
      <c r="I266" s="2"/>
      <c r="J266" s="2"/>
      <c r="K266" s="2"/>
      <c r="L266" s="2"/>
      <c r="M266" s="2"/>
      <c r="N266" s="2"/>
    </row>
    <row r="267">
      <c r="A267" s="7"/>
      <c r="B267" s="96" t="s">
        <v>446</v>
      </c>
      <c r="C267" s="20">
        <f>C198</f>
        <v>2304596.893</v>
      </c>
      <c r="D267" s="20">
        <f>F198</f>
        <v>1152298.447</v>
      </c>
      <c r="E267" s="20">
        <f>H198</f>
        <v>384099.4822</v>
      </c>
      <c r="F267" s="20">
        <f>M198</f>
        <v>0</v>
      </c>
      <c r="G267" s="7"/>
      <c r="H267" s="7"/>
      <c r="I267" s="7"/>
      <c r="J267" s="7"/>
      <c r="K267" s="7"/>
      <c r="L267" s="7"/>
      <c r="M267" s="7"/>
      <c r="N267" s="7"/>
    </row>
    <row r="268">
      <c r="A268" s="2"/>
      <c r="B268" s="92" t="s">
        <v>447</v>
      </c>
      <c r="C268" s="26">
        <f t="shared" ref="C268:F268" si="77">C264-C267</f>
        <v>1481397.929</v>
      </c>
      <c r="D268" s="26">
        <f t="shared" si="77"/>
        <v>1982396.375</v>
      </c>
      <c r="E268" s="26">
        <f t="shared" si="77"/>
        <v>2316395.34</v>
      </c>
      <c r="F268" s="26">
        <f t="shared" si="77"/>
        <v>1614994.822</v>
      </c>
      <c r="G268" s="2"/>
      <c r="H268" s="2"/>
      <c r="I268" s="2"/>
      <c r="J268" s="2"/>
      <c r="K268" s="2"/>
      <c r="L268" s="2"/>
      <c r="M268" s="2"/>
      <c r="N268" s="2"/>
    </row>
    <row r="269">
      <c r="A269" s="7"/>
      <c r="B269" s="163" t="s">
        <v>448</v>
      </c>
      <c r="C269" s="34">
        <f t="shared" ref="C269:F269" si="78">C267+C268</f>
        <v>3785994.822</v>
      </c>
      <c r="D269" s="34">
        <f t="shared" si="78"/>
        <v>3134694.822</v>
      </c>
      <c r="E269" s="34">
        <f t="shared" si="78"/>
        <v>2700494.822</v>
      </c>
      <c r="F269" s="34">
        <f t="shared" si="78"/>
        <v>1614994.822</v>
      </c>
      <c r="G269" s="7"/>
      <c r="H269" s="7"/>
      <c r="I269" s="7"/>
      <c r="J269" s="7"/>
      <c r="K269" s="7"/>
      <c r="L269" s="7"/>
      <c r="M269" s="7"/>
      <c r="N269" s="7"/>
    </row>
    <row r="270">
      <c r="A270" s="2"/>
      <c r="B270" s="171" t="s">
        <v>449</v>
      </c>
      <c r="C270" s="172" t="str">
        <f t="shared" ref="C270:F270" si="79">IF(ABS(C264-C269)&lt;1,"OK","ERROR")</f>
        <v>OK</v>
      </c>
      <c r="D270" s="172" t="str">
        <f t="shared" si="79"/>
        <v>OK</v>
      </c>
      <c r="E270" s="172" t="str">
        <f t="shared" si="79"/>
        <v>OK</v>
      </c>
      <c r="F270" s="172" t="str">
        <f t="shared" si="79"/>
        <v>OK</v>
      </c>
      <c r="G270" s="2"/>
      <c r="H270" s="2"/>
      <c r="I270" s="2"/>
      <c r="J270" s="2"/>
      <c r="K270" s="2"/>
      <c r="L270" s="2"/>
      <c r="M270" s="2"/>
      <c r="N270" s="2"/>
    </row>
    <row r="271">
      <c r="A271" s="7"/>
      <c r="B271" s="13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</row>
    <row r="272">
      <c r="A272" s="53"/>
      <c r="B272" s="139" t="s">
        <v>452</v>
      </c>
      <c r="C272" s="4"/>
      <c r="D272" s="4"/>
      <c r="E272" s="4"/>
      <c r="F272" s="5"/>
      <c r="G272" s="140"/>
      <c r="H272" s="140"/>
      <c r="I272" s="140"/>
      <c r="J272" s="140"/>
      <c r="K272" s="140"/>
      <c r="L272" s="140"/>
      <c r="M272" s="140"/>
      <c r="N272" s="140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>
      <c r="A273" s="53"/>
      <c r="B273" s="141" t="s">
        <v>453</v>
      </c>
      <c r="C273" s="54" t="s">
        <v>349</v>
      </c>
      <c r="D273" s="54" t="s">
        <v>365</v>
      </c>
      <c r="E273" s="54" t="s">
        <v>350</v>
      </c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>
      <c r="A274" s="2"/>
      <c r="B274" s="92" t="s">
        <v>18</v>
      </c>
      <c r="C274" s="26">
        <f t="array" ref="C274">C209+NPV(C14,D209:M209)</f>
        <v>15608445.42</v>
      </c>
      <c r="D274" s="26">
        <f t="array" ref="D274">C219+NPV(C14,D219:M219)</f>
        <v>28539880.15</v>
      </c>
      <c r="E274" s="26">
        <f t="array" ref="E274">C229+NPV(C14,D229:M229)</f>
        <v>241339950</v>
      </c>
      <c r="F274" s="2"/>
      <c r="G274" s="2"/>
      <c r="H274" s="2"/>
      <c r="I274" s="2"/>
      <c r="J274" s="2"/>
      <c r="K274" s="2"/>
      <c r="L274" s="2"/>
      <c r="M274" s="2"/>
      <c r="N274" s="2"/>
    </row>
    <row r="275">
      <c r="A275" s="7"/>
      <c r="B275" s="96" t="s">
        <v>19</v>
      </c>
      <c r="C275" s="24">
        <f>IFERROR(IRR(C209:M209,0.2),"-")</f>
        <v>0.8054672579</v>
      </c>
      <c r="D275" s="24">
        <f>IFERROR(IRR(C219:M219,0.2),"-")</f>
        <v>1.128850223</v>
      </c>
      <c r="E275" s="36">
        <f>E276</f>
        <v>6.783183253</v>
      </c>
      <c r="F275" s="7"/>
      <c r="G275" s="7"/>
      <c r="H275" s="7"/>
      <c r="I275" s="7"/>
      <c r="J275" s="7"/>
      <c r="K275" s="7"/>
      <c r="L275" s="7"/>
      <c r="M275" s="7"/>
      <c r="N275" s="7"/>
    </row>
    <row r="276">
      <c r="A276" s="2"/>
      <c r="B276" s="92" t="s">
        <v>20</v>
      </c>
      <c r="C276" s="36">
        <f>IFERROR(IRR(C209:M209,0.2),"-")</f>
        <v>0.8054672579</v>
      </c>
      <c r="D276" s="36">
        <f>IFERROR(IRR(C219:M219,0.2),"-")</f>
        <v>1.128850223</v>
      </c>
      <c r="E276" s="36">
        <f>IFERROR(IRR(C229:M229,0.2),"-")</f>
        <v>6.783183253</v>
      </c>
      <c r="F276" s="2"/>
      <c r="G276" s="2"/>
      <c r="H276" s="2"/>
      <c r="I276" s="2"/>
      <c r="J276" s="2"/>
      <c r="K276" s="2"/>
      <c r="L276" s="2"/>
      <c r="M276" s="2"/>
      <c r="N276" s="2"/>
    </row>
    <row r="277">
      <c r="A277" s="7"/>
      <c r="B277" s="96" t="s">
        <v>21</v>
      </c>
      <c r="C277" s="41">
        <f>IF(D209&gt;0,-C209/(D209/12),999)</f>
        <v>23.04220027</v>
      </c>
      <c r="D277" s="41">
        <f>IF(D219&gt;0,-C219/(D219/12),999)</f>
        <v>15.00551054</v>
      </c>
      <c r="E277" s="41">
        <f>IF(D229&gt;0,-C229/(D229/12),999)</f>
        <v>1.900366486</v>
      </c>
      <c r="F277" s="7"/>
      <c r="G277" s="7"/>
      <c r="H277" s="7"/>
      <c r="I277" s="7"/>
      <c r="J277" s="7"/>
      <c r="K277" s="7"/>
      <c r="L277" s="7"/>
      <c r="M277" s="7"/>
      <c r="N277" s="7"/>
    </row>
    <row r="278">
      <c r="A278" s="2"/>
      <c r="B278" s="92" t="s">
        <v>22</v>
      </c>
      <c r="C278" s="40">
        <f t="shared" ref="C278:E278" si="80">C277*1.15</f>
        <v>26.49853031</v>
      </c>
      <c r="D278" s="40">
        <f t="shared" si="80"/>
        <v>17.25633712</v>
      </c>
      <c r="E278" s="40">
        <f t="shared" si="80"/>
        <v>2.185421459</v>
      </c>
      <c r="F278" s="2"/>
      <c r="G278" s="2"/>
      <c r="H278" s="2"/>
      <c r="I278" s="2"/>
      <c r="J278" s="2"/>
      <c r="K278" s="2"/>
      <c r="L278" s="2"/>
      <c r="M278" s="2"/>
      <c r="N278" s="2"/>
    </row>
    <row r="279">
      <c r="A279" s="7"/>
      <c r="B279" s="96" t="s">
        <v>23</v>
      </c>
      <c r="C279" s="45">
        <f>IF(-C209&gt;0,SUM(D209:M209)/-C209,0)</f>
        <v>8.895084895</v>
      </c>
      <c r="D279" s="45">
        <f>IF(-C219&gt;0,SUM(D219:M219)/-C219,0)</f>
        <v>16.56231522</v>
      </c>
      <c r="E279" s="45">
        <f>IF(-C229&gt;0,SUM(D229:M229)/-C229,0)</f>
        <v>118.5873225</v>
      </c>
      <c r="F279" s="7"/>
      <c r="G279" s="7"/>
      <c r="H279" s="7"/>
      <c r="I279" s="7"/>
      <c r="J279" s="7"/>
      <c r="K279" s="7"/>
      <c r="L279" s="7"/>
      <c r="M279" s="7"/>
      <c r="N279" s="7"/>
    </row>
    <row r="280">
      <c r="A280" s="2"/>
      <c r="B280" s="92" t="s">
        <v>16</v>
      </c>
      <c r="C280" s="26">
        <f t="shared" ref="C280:C281" si="81">E104</f>
        <v>6969063.258</v>
      </c>
      <c r="D280" s="26">
        <f t="shared" ref="D280:D281" si="82">E122</f>
        <v>9956876.509</v>
      </c>
      <c r="E280" s="26">
        <f t="shared" ref="E280:E281" si="83">E140</f>
        <v>69031998.95</v>
      </c>
      <c r="F280" s="2"/>
      <c r="G280" s="2"/>
      <c r="H280" s="2"/>
      <c r="I280" s="2"/>
      <c r="J280" s="2"/>
      <c r="K280" s="2"/>
      <c r="L280" s="2"/>
      <c r="M280" s="2"/>
      <c r="N280" s="2"/>
    </row>
    <row r="281">
      <c r="A281" s="7"/>
      <c r="B281" s="96" t="s">
        <v>17</v>
      </c>
      <c r="C281" s="24">
        <f t="shared" si="81"/>
        <v>0.1993250623</v>
      </c>
      <c r="D281" s="24">
        <f t="shared" si="82"/>
        <v>0.1937910165</v>
      </c>
      <c r="E281" s="24">
        <f t="shared" si="83"/>
        <v>0.4901009996</v>
      </c>
      <c r="F281" s="7"/>
      <c r="G281" s="7"/>
      <c r="H281" s="7"/>
      <c r="I281" s="7"/>
      <c r="J281" s="7"/>
      <c r="K281" s="7"/>
      <c r="L281" s="7"/>
      <c r="M281" s="7"/>
      <c r="N281" s="7"/>
    </row>
    <row r="282">
      <c r="A282" s="2"/>
      <c r="B282" s="92" t="s">
        <v>25</v>
      </c>
      <c r="C282" s="42">
        <f>IF(D169&gt;0,C104/D169,"-")</f>
        <v>5.012127548</v>
      </c>
      <c r="D282" s="42">
        <f>IF(D183&gt;0,C122/D183,"-")</f>
        <v>7.160953087</v>
      </c>
      <c r="E282" s="42">
        <f>IF(D197&gt;0,C140/D197,"-")</f>
        <v>49.64758833</v>
      </c>
      <c r="F282" s="2"/>
      <c r="G282" s="2"/>
      <c r="H282" s="2"/>
      <c r="I282" s="2"/>
      <c r="J282" s="2"/>
      <c r="K282" s="2"/>
      <c r="L282" s="2"/>
      <c r="M282" s="2"/>
      <c r="N282" s="2"/>
    </row>
    <row r="283">
      <c r="A283" s="7"/>
      <c r="B283" s="96" t="s">
        <v>26</v>
      </c>
      <c r="C283" s="129">
        <f>IF(D94&gt;0,C79/(D94/(C34*1000))*1/C10,0)</f>
        <v>64487.99983</v>
      </c>
      <c r="D283" s="129">
        <f>IF(E94&gt;0,C79/(E94/(C34*1000))*1/C10,0)</f>
        <v>43883.56739</v>
      </c>
      <c r="E283" s="129">
        <f>IF(F94&gt;0,C79/(F94/(C34*1000))*1/C10,0)</f>
        <v>16007.61181</v>
      </c>
      <c r="F283" s="7"/>
      <c r="G283" s="7"/>
      <c r="H283" s="7"/>
      <c r="I283" s="7"/>
      <c r="J283" s="7"/>
      <c r="K283" s="7"/>
      <c r="L283" s="7"/>
      <c r="M283" s="7"/>
      <c r="N283" s="7"/>
    </row>
    <row r="284">
      <c r="A284" s="2"/>
      <c r="B284" s="92" t="s">
        <v>454</v>
      </c>
      <c r="C284" s="42">
        <f>IF(C79&gt;0,D94/C79,0)</f>
        <v>0.8440640141</v>
      </c>
      <c r="D284" s="42">
        <f>IF(C79&gt;0,E94/C79,0)</f>
        <v>1.240373179</v>
      </c>
      <c r="E284" s="42">
        <f>IF(C79&gt;0,F94/C79,0)</f>
        <v>3.400382308</v>
      </c>
      <c r="F284" s="2"/>
      <c r="G284" s="2"/>
      <c r="H284" s="2"/>
      <c r="I284" s="2"/>
      <c r="J284" s="2"/>
      <c r="K284" s="2"/>
      <c r="L284" s="2"/>
      <c r="M284" s="2"/>
      <c r="N284" s="2"/>
    </row>
    <row r="285">
      <c r="A285" s="7"/>
      <c r="B285" s="96" t="s">
        <v>455</v>
      </c>
      <c r="C285" s="20">
        <f>L104*C28</f>
        <v>-32296351.86</v>
      </c>
      <c r="D285" s="20">
        <f>L122*C28</f>
        <v>49784382.54</v>
      </c>
      <c r="E285" s="20">
        <f>L140*C28</f>
        <v>345159994.8</v>
      </c>
      <c r="F285" s="7"/>
      <c r="G285" s="7"/>
      <c r="H285" s="7"/>
      <c r="I285" s="7"/>
      <c r="J285" s="7"/>
      <c r="K285" s="7"/>
      <c r="L285" s="7"/>
      <c r="M285" s="7"/>
      <c r="N285" s="7"/>
    </row>
    <row r="286">
      <c r="A286" s="2"/>
      <c r="B286" s="92" t="s">
        <v>14</v>
      </c>
      <c r="C286" s="26">
        <f>C102/12</f>
        <v>1456804.44</v>
      </c>
      <c r="D286" s="26">
        <f>C120/12</f>
        <v>2140810.56</v>
      </c>
      <c r="E286" s="26">
        <f>C138/12</f>
        <v>5868858.24</v>
      </c>
      <c r="F286" s="2"/>
      <c r="G286" s="2"/>
      <c r="H286" s="2"/>
      <c r="I286" s="2"/>
      <c r="J286" s="2"/>
      <c r="K286" s="2"/>
      <c r="L286" s="2"/>
      <c r="M286" s="2"/>
      <c r="N286" s="2"/>
    </row>
    <row r="287">
      <c r="A287" s="7"/>
      <c r="B287" s="96" t="s">
        <v>15</v>
      </c>
      <c r="C287" s="20">
        <f>E102/12</f>
        <v>2913608.88</v>
      </c>
      <c r="D287" s="20">
        <f>E120/12</f>
        <v>4281621.12</v>
      </c>
      <c r="E287" s="20">
        <f>E138/12</f>
        <v>11737716.48</v>
      </c>
      <c r="F287" s="7"/>
      <c r="G287" s="7"/>
      <c r="H287" s="7"/>
      <c r="I287" s="7"/>
      <c r="J287" s="7"/>
      <c r="K287" s="7"/>
      <c r="L287" s="7"/>
      <c r="M287" s="7"/>
      <c r="N287" s="7"/>
    </row>
    <row r="288">
      <c r="A288" s="2"/>
      <c r="B288" s="92" t="s">
        <v>12</v>
      </c>
      <c r="C288" s="26">
        <f>C64*(1-C29)</f>
        <v>1536397.929</v>
      </c>
      <c r="D288" s="26">
        <f>C64*(1-C29)</f>
        <v>1536397.929</v>
      </c>
      <c r="E288" s="26">
        <f>C64*(1-C29)</f>
        <v>1536397.929</v>
      </c>
      <c r="F288" s="2"/>
      <c r="G288" s="2"/>
      <c r="H288" s="2"/>
      <c r="I288" s="2"/>
      <c r="J288" s="2"/>
      <c r="K288" s="2"/>
      <c r="L288" s="2"/>
      <c r="M288" s="2"/>
      <c r="N288" s="2"/>
    </row>
    <row r="289">
      <c r="A289" s="7"/>
      <c r="B289" s="13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</row>
    <row r="290">
      <c r="A290" s="155"/>
      <c r="B290" s="156" t="s">
        <v>456</v>
      </c>
      <c r="C290" s="4"/>
      <c r="D290" s="4"/>
      <c r="E290" s="4"/>
      <c r="F290" s="4"/>
      <c r="G290" s="4"/>
      <c r="H290" s="5"/>
      <c r="I290" s="175"/>
      <c r="J290" s="175"/>
      <c r="K290" s="175"/>
      <c r="L290" s="175"/>
      <c r="M290" s="175"/>
      <c r="N290" s="175"/>
      <c r="O290" s="155"/>
      <c r="P290" s="155"/>
      <c r="Q290" s="155"/>
      <c r="R290" s="155"/>
      <c r="S290" s="155"/>
      <c r="T290" s="155"/>
      <c r="U290" s="155"/>
      <c r="V290" s="155"/>
      <c r="W290" s="155"/>
      <c r="X290" s="155"/>
      <c r="Y290" s="155"/>
      <c r="Z290" s="155"/>
    </row>
    <row r="291">
      <c r="A291" s="155"/>
      <c r="B291" s="169" t="s">
        <v>457</v>
      </c>
      <c r="C291" s="4"/>
      <c r="D291" s="4"/>
      <c r="E291" s="4"/>
      <c r="F291" s="4"/>
      <c r="G291" s="4"/>
      <c r="H291" s="5"/>
      <c r="I291" s="155"/>
      <c r="J291" s="155"/>
      <c r="K291" s="155"/>
      <c r="L291" s="155"/>
      <c r="M291" s="155"/>
      <c r="N291" s="155"/>
      <c r="O291" s="155"/>
      <c r="P291" s="155"/>
      <c r="Q291" s="155"/>
      <c r="R291" s="155"/>
      <c r="S291" s="155"/>
      <c r="T291" s="155"/>
      <c r="U291" s="155"/>
      <c r="V291" s="155"/>
      <c r="W291" s="155"/>
      <c r="X291" s="155"/>
      <c r="Y291" s="155"/>
      <c r="Z291" s="155"/>
    </row>
    <row r="292">
      <c r="A292" s="155"/>
      <c r="B292" s="157" t="s">
        <v>458</v>
      </c>
      <c r="C292" s="158" t="s">
        <v>349</v>
      </c>
      <c r="D292" s="158" t="s">
        <v>365</v>
      </c>
      <c r="E292" s="158" t="s">
        <v>350</v>
      </c>
      <c r="F292" s="155"/>
      <c r="G292" s="155"/>
      <c r="H292" s="155"/>
      <c r="I292" s="155"/>
      <c r="J292" s="155"/>
      <c r="K292" s="155"/>
      <c r="L292" s="155"/>
      <c r="M292" s="155"/>
      <c r="N292" s="155"/>
      <c r="O292" s="155"/>
      <c r="P292" s="155"/>
      <c r="Q292" s="155"/>
      <c r="R292" s="155"/>
      <c r="S292" s="155"/>
      <c r="T292" s="155"/>
      <c r="U292" s="155"/>
      <c r="V292" s="155"/>
      <c r="W292" s="155"/>
      <c r="X292" s="155"/>
      <c r="Y292" s="155"/>
      <c r="Z292" s="155"/>
    </row>
    <row r="293">
      <c r="A293" s="7"/>
      <c r="B293" s="96" t="s">
        <v>459</v>
      </c>
      <c r="C293" s="20">
        <f>D94*(1+-0.2)-C79</f>
        <v>-1120994.307</v>
      </c>
      <c r="D293" s="20">
        <f>E94*(1+-0.2)-C79</f>
        <v>-26584.51493</v>
      </c>
      <c r="E293" s="20">
        <f>F94*(1+-0.2)-C79</f>
        <v>5938291.773</v>
      </c>
      <c r="F293" s="7"/>
      <c r="G293" s="7"/>
      <c r="H293" s="7"/>
      <c r="I293" s="7"/>
      <c r="J293" s="7"/>
      <c r="K293" s="7"/>
      <c r="L293" s="7"/>
      <c r="M293" s="7"/>
      <c r="N293" s="7"/>
    </row>
    <row r="294">
      <c r="A294" s="2"/>
      <c r="B294" s="92" t="s">
        <v>460</v>
      </c>
      <c r="C294" s="26">
        <f>D94*(1+-0.1)-C79</f>
        <v>-829633.4189</v>
      </c>
      <c r="D294" s="26">
        <f>E94*(1+-0.1)-C79</f>
        <v>401577.5971</v>
      </c>
      <c r="E294" s="26">
        <f>F94*(1+-0.1)-C79</f>
        <v>7112063.421</v>
      </c>
      <c r="F294" s="2"/>
      <c r="G294" s="2"/>
      <c r="H294" s="2"/>
      <c r="I294" s="2"/>
      <c r="J294" s="2"/>
      <c r="K294" s="2"/>
      <c r="L294" s="2"/>
      <c r="M294" s="2"/>
      <c r="N294" s="2"/>
    </row>
    <row r="295">
      <c r="A295" s="7"/>
      <c r="B295" s="96" t="s">
        <v>461</v>
      </c>
      <c r="C295" s="20">
        <f>D94*(1+0)-C79</f>
        <v>-538272.5309</v>
      </c>
      <c r="D295" s="20">
        <f>E94*(1+0)-C79</f>
        <v>829739.7091</v>
      </c>
      <c r="E295" s="20">
        <f>F94*(1+0)-C79</f>
        <v>8285835.069</v>
      </c>
      <c r="F295" s="7"/>
      <c r="G295" s="7"/>
      <c r="H295" s="7"/>
      <c r="I295" s="7"/>
      <c r="J295" s="7"/>
      <c r="K295" s="7"/>
      <c r="L295" s="7"/>
      <c r="M295" s="7"/>
      <c r="N295" s="7"/>
    </row>
    <row r="296">
      <c r="A296" s="2"/>
      <c r="B296" s="92" t="s">
        <v>462</v>
      </c>
      <c r="C296" s="26">
        <f>D94*(1+0.1)-C79</f>
        <v>-246911.6429</v>
      </c>
      <c r="D296" s="26">
        <f>E94*(1+0.1)-C79</f>
        <v>1257901.821</v>
      </c>
      <c r="E296" s="26">
        <f>F94*(1+0.1)-C79</f>
        <v>9459606.717</v>
      </c>
      <c r="F296" s="2"/>
      <c r="G296" s="2"/>
      <c r="H296" s="2"/>
      <c r="I296" s="2"/>
      <c r="J296" s="2"/>
      <c r="K296" s="2"/>
      <c r="L296" s="2"/>
      <c r="M296" s="2"/>
      <c r="N296" s="2"/>
    </row>
    <row r="297">
      <c r="A297" s="7"/>
      <c r="B297" s="96" t="s">
        <v>463</v>
      </c>
      <c r="C297" s="20">
        <f>D94*(1+0.2)-C79</f>
        <v>44449.24507</v>
      </c>
      <c r="D297" s="20">
        <f>E94*(1+0.2)-C79</f>
        <v>1686063.933</v>
      </c>
      <c r="E297" s="20">
        <f>F94*(1+0.2)-C79</f>
        <v>10633378.37</v>
      </c>
      <c r="F297" s="7"/>
      <c r="G297" s="7"/>
      <c r="H297" s="7"/>
      <c r="I297" s="7"/>
      <c r="J297" s="7"/>
      <c r="K297" s="7"/>
      <c r="L297" s="7"/>
      <c r="M297" s="7"/>
      <c r="N297" s="7"/>
    </row>
    <row r="298">
      <c r="A298" s="2"/>
      <c r="B298" s="11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</row>
    <row r="299">
      <c r="A299" s="7"/>
      <c r="B299" s="163" t="s">
        <v>464</v>
      </c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</row>
    <row r="300">
      <c r="A300" s="2"/>
      <c r="B300" s="92" t="s">
        <v>465</v>
      </c>
      <c r="C300" s="26">
        <f>D94*0.5-C79</f>
        <v>-1995076.971</v>
      </c>
      <c r="D300" s="26">
        <f>E94*0.5-C79</f>
        <v>-1311070.851</v>
      </c>
      <c r="E300" s="26">
        <f>F94*0.5-C79</f>
        <v>2416976.829</v>
      </c>
      <c r="F300" s="2"/>
      <c r="G300" s="2"/>
      <c r="H300" s="2"/>
      <c r="I300" s="2"/>
      <c r="J300" s="2"/>
      <c r="K300" s="2"/>
      <c r="L300" s="2"/>
      <c r="M300" s="2"/>
      <c r="N300" s="2"/>
    </row>
    <row r="301">
      <c r="A301" s="7"/>
      <c r="B301" s="13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</row>
    <row r="302">
      <c r="A302" s="2"/>
      <c r="B302" s="176" t="s">
        <v>466</v>
      </c>
      <c r="K302" s="2"/>
      <c r="L302" s="2"/>
      <c r="M302" s="2"/>
      <c r="N302" s="2"/>
    </row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30">
    <mergeCell ref="B2:F2"/>
    <mergeCell ref="B33:F33"/>
    <mergeCell ref="B46:N46"/>
    <mergeCell ref="B58:F58"/>
    <mergeCell ref="B66:F66"/>
    <mergeCell ref="B81:H81"/>
    <mergeCell ref="B83:H83"/>
    <mergeCell ref="H86:K91"/>
    <mergeCell ref="B95:H95"/>
    <mergeCell ref="B97:N97"/>
    <mergeCell ref="B98:N98"/>
    <mergeCell ref="B116:N116"/>
    <mergeCell ref="B134:N134"/>
    <mergeCell ref="B152:H152"/>
    <mergeCell ref="B158:N158"/>
    <mergeCell ref="B159:N159"/>
    <mergeCell ref="B173:N173"/>
    <mergeCell ref="B187:N187"/>
    <mergeCell ref="B201:N201"/>
    <mergeCell ref="B202:N202"/>
    <mergeCell ref="B212:N212"/>
    <mergeCell ref="B291:H291"/>
    <mergeCell ref="B302:J302"/>
    <mergeCell ref="B222:N222"/>
    <mergeCell ref="B232:H232"/>
    <mergeCell ref="B233:H233"/>
    <mergeCell ref="B246:H246"/>
    <mergeCell ref="B259:H259"/>
    <mergeCell ref="B272:F272"/>
    <mergeCell ref="B290:H290"/>
  </mergeCells>
  <conditionalFormatting sqref="C293:E297">
    <cfRule type="cellIs" dxfId="6" priority="1" operator="greaterThan">
      <formula>0</formula>
    </cfRule>
  </conditionalFormatting>
  <conditionalFormatting sqref="C293:E297">
    <cfRule type="cellIs" dxfId="7" priority="2" operator="lessThan">
      <formula>0</formula>
    </cfRule>
  </conditionalFormatting>
  <conditionalFormatting sqref="C293:E297">
    <cfRule type="cellIs" dxfId="8" priority="3" operator="equal">
      <formula>0</formula>
    </cfRule>
  </conditionalFormatting>
  <printOptions/>
  <pageMargins bottom="1.0" footer="0.0" header="0.0" left="0.75" right="0.75" top="1.0"/>
  <pageSetup fitToHeight="0" orientation="landscape"/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.29"/>
    <col customWidth="1" min="2" max="2" width="30.86"/>
    <col customWidth="1" min="3" max="5" width="16.0"/>
    <col customWidth="1" min="6" max="6" width="18.0"/>
    <col customWidth="1" min="7" max="7" width="16.0"/>
    <col customWidth="1" min="8" max="8" width="12.0"/>
    <col customWidth="1" min="9" max="9" width="14.0"/>
    <col customWidth="1" min="10" max="10" width="12.0"/>
    <col customWidth="1" min="11" max="12" width="14.0"/>
    <col customWidth="1" min="13" max="13" width="16.0"/>
    <col customWidth="1" min="14" max="14" width="18.0"/>
    <col customWidth="1" min="15" max="26" width="8.71"/>
  </cols>
  <sheetData>
    <row r="1" ht="22.5" customHeight="1">
      <c r="A1" s="80"/>
      <c r="B1" s="88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</row>
    <row r="2" ht="18.75" customHeight="1">
      <c r="A2" s="82"/>
      <c r="B2" s="89" t="s">
        <v>467</v>
      </c>
      <c r="C2" s="4"/>
      <c r="D2" s="4"/>
      <c r="E2" s="4"/>
      <c r="F2" s="5"/>
      <c r="G2" s="82"/>
      <c r="H2" s="82"/>
      <c r="I2" s="82"/>
      <c r="J2" s="82"/>
      <c r="K2" s="82"/>
      <c r="L2" s="82"/>
      <c r="M2" s="82"/>
      <c r="N2" s="82"/>
    </row>
    <row r="3" ht="16.5" customHeight="1">
      <c r="A3" s="84"/>
      <c r="B3" s="90" t="s">
        <v>233</v>
      </c>
      <c r="C3" s="91" t="s">
        <v>234</v>
      </c>
      <c r="D3" s="91" t="s">
        <v>235</v>
      </c>
      <c r="E3" s="91" t="s">
        <v>236</v>
      </c>
      <c r="F3" s="91"/>
      <c r="G3" s="84"/>
      <c r="H3" s="84"/>
      <c r="I3" s="84"/>
      <c r="J3" s="84"/>
      <c r="K3" s="84"/>
      <c r="L3" s="84"/>
      <c r="M3" s="84"/>
      <c r="N3" s="84"/>
    </row>
    <row r="4">
      <c r="A4" s="2"/>
      <c r="B4" s="92" t="s">
        <v>237</v>
      </c>
      <c r="C4" s="93">
        <v>17.1</v>
      </c>
      <c r="D4" s="94" t="s">
        <v>238</v>
      </c>
      <c r="E4" s="95"/>
      <c r="F4" s="2"/>
      <c r="G4" s="2"/>
      <c r="H4" s="2"/>
      <c r="I4" s="2"/>
      <c r="J4" s="2"/>
      <c r="K4" s="2"/>
      <c r="L4" s="2"/>
      <c r="M4" s="2"/>
      <c r="N4" s="2"/>
    </row>
    <row r="5">
      <c r="A5" s="7"/>
      <c r="B5" s="96" t="s">
        <v>239</v>
      </c>
      <c r="C5" s="97">
        <v>3.0</v>
      </c>
      <c r="D5" s="98" t="s">
        <v>240</v>
      </c>
      <c r="E5" s="99" t="s">
        <v>241</v>
      </c>
      <c r="F5" s="7"/>
      <c r="G5" s="7"/>
      <c r="H5" s="7"/>
      <c r="I5" s="7"/>
      <c r="J5" s="7"/>
      <c r="K5" s="7"/>
      <c r="L5" s="7"/>
      <c r="M5" s="7"/>
      <c r="N5" s="7"/>
    </row>
    <row r="6">
      <c r="A6" s="2"/>
      <c r="B6" s="92" t="s">
        <v>242</v>
      </c>
      <c r="C6" s="93">
        <v>18.5</v>
      </c>
      <c r="D6" s="94" t="s">
        <v>243</v>
      </c>
      <c r="E6" s="95" t="s">
        <v>244</v>
      </c>
      <c r="F6" s="2"/>
      <c r="G6" s="2"/>
      <c r="H6" s="2"/>
      <c r="I6" s="2"/>
      <c r="J6" s="2"/>
      <c r="K6" s="2"/>
      <c r="L6" s="2"/>
      <c r="M6" s="2"/>
      <c r="N6" s="2"/>
    </row>
    <row r="7">
      <c r="A7" s="7"/>
      <c r="B7" s="96" t="s">
        <v>245</v>
      </c>
      <c r="C7" s="100">
        <v>26.0</v>
      </c>
      <c r="D7" s="98" t="s">
        <v>246</v>
      </c>
      <c r="E7" s="99" t="s">
        <v>244</v>
      </c>
      <c r="F7" s="7"/>
      <c r="G7" s="7"/>
      <c r="H7" s="7"/>
      <c r="I7" s="7"/>
      <c r="J7" s="7"/>
      <c r="K7" s="7"/>
      <c r="L7" s="7"/>
      <c r="M7" s="7"/>
      <c r="N7" s="7"/>
    </row>
    <row r="8">
      <c r="A8" s="2"/>
      <c r="B8" s="92" t="s">
        <v>247</v>
      </c>
      <c r="C8" s="93">
        <v>1.1</v>
      </c>
      <c r="D8" s="94" t="s">
        <v>248</v>
      </c>
      <c r="E8" s="95"/>
      <c r="F8" s="2"/>
      <c r="G8" s="2"/>
      <c r="H8" s="2"/>
      <c r="I8" s="2"/>
      <c r="J8" s="2"/>
      <c r="K8" s="2"/>
      <c r="L8" s="2"/>
      <c r="M8" s="2"/>
      <c r="N8" s="2"/>
    </row>
    <row r="9">
      <c r="A9" s="7"/>
      <c r="B9" s="96" t="s">
        <v>249</v>
      </c>
      <c r="C9" s="101">
        <v>300.0</v>
      </c>
      <c r="D9" s="98" t="s">
        <v>250</v>
      </c>
      <c r="E9" s="99"/>
      <c r="F9" s="7"/>
      <c r="G9" s="7"/>
      <c r="H9" s="7"/>
      <c r="I9" s="7"/>
      <c r="J9" s="7"/>
      <c r="K9" s="7"/>
      <c r="L9" s="7"/>
      <c r="M9" s="7"/>
      <c r="N9" s="7"/>
    </row>
    <row r="10">
      <c r="A10" s="2"/>
      <c r="B10" s="92" t="s">
        <v>251</v>
      </c>
      <c r="C10" s="102">
        <v>25.0</v>
      </c>
      <c r="D10" s="94" t="s">
        <v>250</v>
      </c>
      <c r="E10" s="95"/>
      <c r="F10" s="2"/>
      <c r="G10" s="2"/>
      <c r="H10" s="2"/>
      <c r="I10" s="2"/>
      <c r="J10" s="2"/>
      <c r="K10" s="2"/>
      <c r="L10" s="2"/>
      <c r="M10" s="2"/>
      <c r="N10" s="2"/>
    </row>
    <row r="11">
      <c r="A11" s="7"/>
      <c r="B11" s="96" t="s">
        <v>252</v>
      </c>
      <c r="C11" s="103">
        <v>0.1</v>
      </c>
      <c r="D11" s="98" t="s">
        <v>253</v>
      </c>
      <c r="E11" s="99"/>
      <c r="F11" s="7"/>
      <c r="G11" s="7"/>
      <c r="H11" s="7"/>
      <c r="I11" s="7"/>
      <c r="J11" s="7"/>
      <c r="K11" s="7"/>
      <c r="L11" s="7"/>
      <c r="M11" s="7"/>
      <c r="N11" s="7"/>
    </row>
    <row r="12">
      <c r="A12" s="2"/>
      <c r="B12" s="92" t="s">
        <v>255</v>
      </c>
      <c r="C12" s="102">
        <v>65.0</v>
      </c>
      <c r="D12" s="94" t="s">
        <v>256</v>
      </c>
      <c r="E12" s="95"/>
      <c r="F12" s="2"/>
      <c r="G12" s="2"/>
      <c r="H12" s="2"/>
      <c r="I12" s="2"/>
      <c r="J12" s="2"/>
      <c r="K12" s="2"/>
      <c r="L12" s="2"/>
      <c r="M12" s="2"/>
      <c r="N12" s="2"/>
    </row>
    <row r="13">
      <c r="A13" s="7"/>
      <c r="B13" s="96" t="s">
        <v>258</v>
      </c>
      <c r="C13" s="97">
        <v>1.35</v>
      </c>
      <c r="D13" s="98" t="s">
        <v>248</v>
      </c>
      <c r="E13" s="99"/>
      <c r="F13" s="7"/>
      <c r="G13" s="7"/>
      <c r="H13" s="7"/>
      <c r="I13" s="7"/>
      <c r="J13" s="7"/>
      <c r="K13" s="7"/>
      <c r="L13" s="7"/>
      <c r="M13" s="7"/>
      <c r="N13" s="7"/>
    </row>
    <row r="14">
      <c r="A14" s="2"/>
      <c r="B14" s="92" t="s">
        <v>259</v>
      </c>
      <c r="C14" s="106">
        <v>0.2</v>
      </c>
      <c r="D14" s="94" t="s">
        <v>253</v>
      </c>
      <c r="E14" s="95"/>
      <c r="F14" s="2"/>
      <c r="G14" s="2"/>
      <c r="H14" s="2"/>
      <c r="I14" s="2"/>
      <c r="J14" s="2"/>
      <c r="K14" s="2"/>
      <c r="L14" s="2"/>
      <c r="M14" s="2"/>
      <c r="N14" s="2"/>
    </row>
    <row r="15">
      <c r="A15" s="7"/>
      <c r="B15" s="96" t="s">
        <v>260</v>
      </c>
      <c r="C15" s="107">
        <v>0.3</v>
      </c>
      <c r="D15" s="98" t="s">
        <v>253</v>
      </c>
      <c r="E15" s="99"/>
      <c r="F15" s="7"/>
      <c r="G15" s="7"/>
      <c r="H15" s="7"/>
      <c r="I15" s="7"/>
      <c r="J15" s="7"/>
      <c r="K15" s="7"/>
      <c r="L15" s="7"/>
      <c r="M15" s="7"/>
      <c r="N15" s="7"/>
    </row>
    <row r="16">
      <c r="A16" s="2"/>
      <c r="B16" s="92" t="s">
        <v>261</v>
      </c>
      <c r="C16" s="106">
        <v>0.1</v>
      </c>
      <c r="D16" s="94" t="s">
        <v>253</v>
      </c>
      <c r="E16" s="95"/>
      <c r="F16" s="2"/>
      <c r="G16" s="2"/>
      <c r="H16" s="2"/>
      <c r="I16" s="2"/>
      <c r="J16" s="2"/>
      <c r="K16" s="2"/>
      <c r="L16" s="2"/>
      <c r="M16" s="2"/>
      <c r="N16" s="2"/>
    </row>
    <row r="17">
      <c r="A17" s="7"/>
      <c r="B17" s="96" t="s">
        <v>262</v>
      </c>
      <c r="C17" s="107">
        <v>0.05</v>
      </c>
      <c r="D17" s="98" t="s">
        <v>253</v>
      </c>
      <c r="E17" s="99"/>
      <c r="F17" s="7"/>
      <c r="G17" s="7"/>
      <c r="H17" s="7"/>
      <c r="I17" s="7"/>
      <c r="J17" s="7"/>
      <c r="K17" s="7"/>
      <c r="L17" s="7"/>
      <c r="M17" s="7"/>
      <c r="N17" s="7"/>
    </row>
    <row r="18">
      <c r="A18" s="2"/>
      <c r="B18" s="92" t="s">
        <v>263</v>
      </c>
      <c r="C18" s="102">
        <v>10.0</v>
      </c>
      <c r="D18" s="94" t="s">
        <v>264</v>
      </c>
      <c r="E18" s="95"/>
      <c r="F18" s="2"/>
      <c r="G18" s="2"/>
      <c r="H18" s="2"/>
      <c r="I18" s="2"/>
      <c r="J18" s="2"/>
      <c r="K18" s="2"/>
      <c r="L18" s="2"/>
      <c r="M18" s="2"/>
      <c r="N18" s="2"/>
    </row>
    <row r="19">
      <c r="A19" s="7"/>
      <c r="B19" s="96" t="s">
        <v>265</v>
      </c>
      <c r="C19" s="101">
        <v>4.0</v>
      </c>
      <c r="D19" s="98" t="s">
        <v>264</v>
      </c>
      <c r="E19" s="99"/>
      <c r="F19" s="7"/>
      <c r="G19" s="7"/>
      <c r="H19" s="7"/>
      <c r="I19" s="7"/>
      <c r="J19" s="7"/>
      <c r="K19" s="7"/>
      <c r="L19" s="7"/>
      <c r="M19" s="7"/>
      <c r="N19" s="7"/>
    </row>
    <row r="20">
      <c r="A20" s="2"/>
      <c r="B20" s="92" t="s">
        <v>266</v>
      </c>
      <c r="C20" s="102">
        <v>3.0</v>
      </c>
      <c r="D20" s="94" t="s">
        <v>264</v>
      </c>
      <c r="E20" s="95"/>
      <c r="F20" s="2"/>
      <c r="G20" s="2"/>
      <c r="H20" s="2"/>
      <c r="I20" s="2"/>
      <c r="J20" s="2"/>
      <c r="K20" s="2"/>
      <c r="L20" s="2"/>
      <c r="M20" s="2"/>
      <c r="N20" s="2"/>
    </row>
    <row r="21">
      <c r="A21" s="7"/>
      <c r="B21" s="96" t="s">
        <v>267</v>
      </c>
      <c r="C21" s="107">
        <v>0.75</v>
      </c>
      <c r="D21" s="98" t="s">
        <v>253</v>
      </c>
      <c r="E21" s="99"/>
      <c r="F21" s="7"/>
      <c r="G21" s="7"/>
      <c r="H21" s="7"/>
      <c r="I21" s="7"/>
      <c r="J21" s="7"/>
      <c r="K21" s="7"/>
      <c r="L21" s="7"/>
      <c r="M21" s="7"/>
      <c r="N21" s="7"/>
    </row>
    <row r="22">
      <c r="A22" s="2"/>
      <c r="B22" s="92" t="s">
        <v>268</v>
      </c>
      <c r="C22" s="106">
        <v>0.5</v>
      </c>
      <c r="D22" s="94" t="s">
        <v>253</v>
      </c>
      <c r="E22" s="95"/>
      <c r="F22" s="2"/>
      <c r="G22" s="2"/>
      <c r="H22" s="2"/>
      <c r="I22" s="2"/>
      <c r="J22" s="2"/>
      <c r="K22" s="2"/>
      <c r="L22" s="2"/>
      <c r="M22" s="2"/>
      <c r="N22" s="2"/>
    </row>
    <row r="23">
      <c r="A23" s="7"/>
      <c r="B23" s="96" t="s">
        <v>269</v>
      </c>
      <c r="C23" s="107">
        <v>0.75</v>
      </c>
      <c r="D23" s="98" t="s">
        <v>253</v>
      </c>
      <c r="E23" s="99"/>
      <c r="F23" s="7"/>
      <c r="G23" s="7"/>
      <c r="H23" s="7"/>
      <c r="I23" s="7"/>
      <c r="J23" s="7"/>
      <c r="K23" s="7"/>
      <c r="L23" s="7"/>
      <c r="M23" s="7"/>
      <c r="N23" s="7"/>
    </row>
    <row r="24">
      <c r="A24" s="2"/>
      <c r="B24" s="92" t="s">
        <v>270</v>
      </c>
      <c r="C24" s="106">
        <v>1.0</v>
      </c>
      <c r="D24" s="94" t="s">
        <v>253</v>
      </c>
      <c r="E24" s="95"/>
      <c r="F24" s="2"/>
      <c r="G24" s="2"/>
      <c r="H24" s="2"/>
      <c r="I24" s="2"/>
      <c r="J24" s="2"/>
      <c r="K24" s="2"/>
      <c r="L24" s="2"/>
      <c r="M24" s="2"/>
      <c r="N24" s="2"/>
    </row>
    <row r="25">
      <c r="A25" s="7"/>
      <c r="B25" s="96" t="s">
        <v>271</v>
      </c>
      <c r="C25" s="101">
        <v>30.0</v>
      </c>
      <c r="D25" s="98" t="s">
        <v>250</v>
      </c>
      <c r="E25" s="99"/>
      <c r="F25" s="7"/>
      <c r="G25" s="7"/>
      <c r="H25" s="7"/>
      <c r="I25" s="7"/>
      <c r="J25" s="7"/>
      <c r="K25" s="7"/>
      <c r="L25" s="7"/>
      <c r="M25" s="7"/>
      <c r="N25" s="7"/>
    </row>
    <row r="26">
      <c r="A26" s="2"/>
      <c r="B26" s="92" t="s">
        <v>272</v>
      </c>
      <c r="C26" s="102">
        <v>7.0</v>
      </c>
      <c r="D26" s="94" t="s">
        <v>250</v>
      </c>
      <c r="E26" s="95"/>
      <c r="F26" s="2"/>
      <c r="G26" s="2"/>
      <c r="H26" s="2"/>
      <c r="I26" s="2"/>
      <c r="J26" s="2"/>
      <c r="K26" s="2"/>
      <c r="L26" s="2"/>
      <c r="M26" s="2"/>
      <c r="N26" s="2"/>
    </row>
    <row r="27">
      <c r="A27" s="7"/>
      <c r="B27" s="96" t="s">
        <v>273</v>
      </c>
      <c r="C27" s="101">
        <v>15.0</v>
      </c>
      <c r="D27" s="98" t="s">
        <v>250</v>
      </c>
      <c r="E27" s="99"/>
      <c r="F27" s="7"/>
      <c r="G27" s="7"/>
      <c r="H27" s="7"/>
      <c r="I27" s="7"/>
      <c r="J27" s="7"/>
      <c r="K27" s="7"/>
      <c r="L27" s="7"/>
      <c r="M27" s="7"/>
      <c r="N27" s="7"/>
    </row>
    <row r="28">
      <c r="A28" s="2"/>
      <c r="B28" s="92" t="s">
        <v>274</v>
      </c>
      <c r="C28" s="111">
        <v>5.0</v>
      </c>
      <c r="D28" s="94" t="s">
        <v>248</v>
      </c>
      <c r="E28" s="95" t="s">
        <v>275</v>
      </c>
      <c r="F28" s="2"/>
      <c r="G28" s="2"/>
      <c r="H28" s="2"/>
      <c r="I28" s="2"/>
      <c r="J28" s="2"/>
      <c r="K28" s="2"/>
      <c r="L28" s="2"/>
      <c r="M28" s="2"/>
      <c r="N28" s="2"/>
    </row>
    <row r="29">
      <c r="A29" s="7"/>
      <c r="B29" s="96" t="s">
        <v>276</v>
      </c>
      <c r="C29" s="107">
        <v>0.6</v>
      </c>
      <c r="D29" s="98" t="s">
        <v>253</v>
      </c>
      <c r="E29" s="99" t="s">
        <v>277</v>
      </c>
      <c r="F29" s="7"/>
      <c r="G29" s="7"/>
      <c r="H29" s="7"/>
      <c r="I29" s="7"/>
      <c r="J29" s="7"/>
      <c r="K29" s="7"/>
      <c r="L29" s="7"/>
      <c r="M29" s="7"/>
      <c r="N29" s="7"/>
    </row>
    <row r="30">
      <c r="A30" s="2"/>
      <c r="B30" s="92" t="s">
        <v>278</v>
      </c>
      <c r="C30" s="106">
        <v>0.135</v>
      </c>
      <c r="D30" s="94" t="s">
        <v>279</v>
      </c>
      <c r="E30" s="95"/>
      <c r="F30" s="2"/>
      <c r="G30" s="2"/>
      <c r="H30" s="2"/>
      <c r="I30" s="2"/>
      <c r="J30" s="2"/>
      <c r="K30" s="2"/>
      <c r="L30" s="2"/>
      <c r="M30" s="2"/>
      <c r="N30" s="2"/>
    </row>
    <row r="31">
      <c r="A31" s="7"/>
      <c r="B31" s="96" t="s">
        <v>280</v>
      </c>
      <c r="C31" s="101">
        <v>6.0</v>
      </c>
      <c r="D31" s="98" t="s">
        <v>264</v>
      </c>
      <c r="E31" s="99"/>
      <c r="F31" s="7"/>
      <c r="G31" s="7"/>
      <c r="H31" s="7"/>
      <c r="I31" s="7"/>
      <c r="J31" s="7"/>
      <c r="K31" s="7"/>
      <c r="L31" s="7"/>
      <c r="M31" s="7"/>
      <c r="N31" s="7"/>
    </row>
    <row r="32">
      <c r="A32" s="2"/>
      <c r="B32" s="11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>
      <c r="A33" s="7"/>
      <c r="B33" s="113" t="s">
        <v>468</v>
      </c>
      <c r="C33" s="4"/>
      <c r="D33" s="4"/>
      <c r="E33" s="4"/>
      <c r="F33" s="5"/>
      <c r="G33" s="16"/>
      <c r="H33" s="16"/>
      <c r="I33" s="16"/>
      <c r="J33" s="16"/>
      <c r="K33" s="16"/>
      <c r="L33" s="16"/>
      <c r="M33" s="16"/>
      <c r="N33" s="16"/>
    </row>
    <row r="34">
      <c r="A34" s="2"/>
      <c r="B34" s="92" t="s">
        <v>282</v>
      </c>
      <c r="C34" s="109">
        <v>3628.8</v>
      </c>
      <c r="D34" s="94" t="s">
        <v>283</v>
      </c>
      <c r="E34" s="95" t="s">
        <v>244</v>
      </c>
      <c r="F34" s="2"/>
      <c r="G34" s="2"/>
      <c r="H34" s="2"/>
      <c r="I34" s="2"/>
      <c r="J34" s="2"/>
      <c r="K34" s="2"/>
      <c r="L34" s="2"/>
      <c r="M34" s="2"/>
      <c r="N34" s="2"/>
    </row>
    <row r="35">
      <c r="A35" s="7"/>
      <c r="B35" s="96" t="s">
        <v>284</v>
      </c>
      <c r="C35" s="107">
        <v>0.3</v>
      </c>
      <c r="D35" s="98" t="s">
        <v>253</v>
      </c>
      <c r="E35" s="104">
        <f t="shared" ref="E35:E37" si="1">$C$34*C35</f>
        <v>1088.64</v>
      </c>
      <c r="F35" s="7"/>
      <c r="G35" s="177" t="s">
        <v>469</v>
      </c>
      <c r="K35" s="7"/>
      <c r="L35" s="7"/>
      <c r="M35" s="7"/>
      <c r="N35" s="7"/>
    </row>
    <row r="36">
      <c r="A36" s="2"/>
      <c r="B36" s="92" t="s">
        <v>286</v>
      </c>
      <c r="C36" s="106">
        <v>0.4</v>
      </c>
      <c r="D36" s="94" t="s">
        <v>253</v>
      </c>
      <c r="E36" s="105">
        <f t="shared" si="1"/>
        <v>1451.52</v>
      </c>
      <c r="F36" s="2"/>
      <c r="K36" s="2"/>
      <c r="L36" s="2"/>
      <c r="M36" s="2"/>
      <c r="N36" s="2"/>
    </row>
    <row r="37">
      <c r="A37" s="7"/>
      <c r="B37" s="96" t="s">
        <v>288</v>
      </c>
      <c r="C37" s="107">
        <v>0.8</v>
      </c>
      <c r="D37" s="98" t="s">
        <v>253</v>
      </c>
      <c r="E37" s="104">
        <f t="shared" si="1"/>
        <v>2903.04</v>
      </c>
      <c r="F37" s="7"/>
      <c r="K37" s="7"/>
      <c r="L37" s="7"/>
      <c r="M37" s="7"/>
      <c r="N37" s="7"/>
    </row>
    <row r="38">
      <c r="A38" s="2"/>
      <c r="B38" s="92" t="s">
        <v>290</v>
      </c>
      <c r="C38" s="93">
        <v>0.9</v>
      </c>
      <c r="D38" s="94" t="s">
        <v>291</v>
      </c>
      <c r="E38" s="95"/>
      <c r="F38" s="2"/>
      <c r="K38" s="2"/>
      <c r="L38" s="2"/>
      <c r="M38" s="2"/>
      <c r="N38" s="2"/>
    </row>
    <row r="39">
      <c r="A39" s="7"/>
      <c r="B39" s="96" t="s">
        <v>470</v>
      </c>
      <c r="C39" s="100">
        <v>4.5</v>
      </c>
      <c r="D39" s="98" t="s">
        <v>243</v>
      </c>
      <c r="E39" s="99" t="s">
        <v>293</v>
      </c>
      <c r="F39" s="7"/>
      <c r="K39" s="7"/>
      <c r="L39" s="7"/>
      <c r="M39" s="7"/>
      <c r="N39" s="7"/>
    </row>
    <row r="40">
      <c r="A40" s="2"/>
      <c r="B40" s="114" t="s">
        <v>471</v>
      </c>
      <c r="C40" s="115">
        <v>2.5</v>
      </c>
      <c r="D40" s="94" t="s">
        <v>243</v>
      </c>
      <c r="E40" s="95"/>
      <c r="F40" s="2"/>
      <c r="K40" s="2"/>
      <c r="L40" s="2"/>
      <c r="M40" s="2"/>
      <c r="N40" s="2"/>
    </row>
    <row r="41">
      <c r="A41" s="7"/>
      <c r="B41" s="96" t="s">
        <v>296</v>
      </c>
      <c r="C41" s="101">
        <v>600.0</v>
      </c>
      <c r="D41" s="98" t="s">
        <v>297</v>
      </c>
      <c r="E41" s="99"/>
      <c r="F41" s="7"/>
      <c r="G41" s="7"/>
      <c r="H41" s="7"/>
      <c r="I41" s="7"/>
      <c r="J41" s="7"/>
      <c r="K41" s="7"/>
      <c r="L41" s="7"/>
      <c r="M41" s="7"/>
      <c r="N41" s="7"/>
    </row>
    <row r="42">
      <c r="A42" s="2"/>
      <c r="B42" s="92" t="s">
        <v>472</v>
      </c>
      <c r="C42" s="116">
        <v>175500.0</v>
      </c>
      <c r="D42" s="94" t="s">
        <v>299</v>
      </c>
      <c r="E42" s="95" t="s">
        <v>473</v>
      </c>
      <c r="F42" s="2"/>
      <c r="G42" s="2"/>
      <c r="H42" s="2"/>
      <c r="I42" s="2"/>
      <c r="J42" s="2"/>
      <c r="K42" s="2"/>
      <c r="L42" s="2"/>
      <c r="M42" s="2"/>
      <c r="N42" s="2"/>
    </row>
    <row r="43">
      <c r="A43" s="7"/>
      <c r="B43" s="96" t="s">
        <v>301</v>
      </c>
      <c r="C43" s="117" t="s">
        <v>474</v>
      </c>
      <c r="D43" s="98"/>
      <c r="E43" s="99" t="s">
        <v>475</v>
      </c>
      <c r="F43" s="7"/>
      <c r="G43" s="7"/>
      <c r="H43" s="7"/>
      <c r="I43" s="7"/>
      <c r="J43" s="7"/>
      <c r="K43" s="7"/>
      <c r="L43" s="7"/>
      <c r="M43" s="7"/>
      <c r="N43" s="7"/>
    </row>
    <row r="44">
      <c r="A44" s="2"/>
      <c r="B44" s="118" t="s">
        <v>304</v>
      </c>
      <c r="C44" s="59">
        <v>25000.0</v>
      </c>
      <c r="D44" s="59" t="s">
        <v>299</v>
      </c>
      <c r="E44" s="59" t="s">
        <v>476</v>
      </c>
      <c r="F44" s="2"/>
      <c r="G44" s="2"/>
      <c r="H44" s="2"/>
      <c r="I44" s="2"/>
      <c r="J44" s="2"/>
      <c r="K44" s="2"/>
      <c r="L44" s="2"/>
      <c r="M44" s="2"/>
      <c r="N44" s="2"/>
    </row>
    <row r="45">
      <c r="A45" s="7"/>
      <c r="B45" s="119" t="s">
        <v>306</v>
      </c>
      <c r="C45" s="60">
        <v>4500.0</v>
      </c>
      <c r="D45" s="60" t="s">
        <v>299</v>
      </c>
      <c r="E45" s="60" t="s">
        <v>305</v>
      </c>
      <c r="F45" s="7"/>
      <c r="G45" s="7"/>
      <c r="H45" s="7"/>
      <c r="I45" s="7"/>
      <c r="J45" s="7"/>
      <c r="K45" s="7"/>
      <c r="L45" s="7"/>
      <c r="M45" s="7"/>
      <c r="N45" s="7"/>
    </row>
    <row r="46">
      <c r="A46" s="2"/>
      <c r="B46" s="165" t="s">
        <v>477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5"/>
    </row>
    <row r="47">
      <c r="A47" s="7"/>
      <c r="B47" s="178" t="s">
        <v>308</v>
      </c>
      <c r="C47" s="179" t="s">
        <v>309</v>
      </c>
      <c r="D47" s="179" t="s">
        <v>310</v>
      </c>
      <c r="E47" s="179" t="s">
        <v>311</v>
      </c>
      <c r="F47" s="179" t="s">
        <v>312</v>
      </c>
      <c r="G47" s="179" t="s">
        <v>313</v>
      </c>
      <c r="H47" s="179" t="s">
        <v>314</v>
      </c>
      <c r="I47" s="179" t="s">
        <v>315</v>
      </c>
      <c r="J47" s="179" t="s">
        <v>316</v>
      </c>
      <c r="K47" s="179" t="s">
        <v>317</v>
      </c>
      <c r="L47" s="179" t="s">
        <v>318</v>
      </c>
      <c r="M47" s="179" t="s">
        <v>319</v>
      </c>
      <c r="N47" s="179" t="s">
        <v>320</v>
      </c>
    </row>
    <row r="48">
      <c r="A48" s="2"/>
      <c r="B48" s="92" t="s">
        <v>478</v>
      </c>
      <c r="C48" s="94" t="s">
        <v>479</v>
      </c>
      <c r="D48" s="102">
        <v>1.0</v>
      </c>
      <c r="E48" s="116">
        <v>680000.0</v>
      </c>
      <c r="F48" s="26">
        <f t="shared" ref="F48:F53" si="2">D48*E48</f>
        <v>680000</v>
      </c>
      <c r="G48" s="123">
        <v>22.0</v>
      </c>
      <c r="H48" s="106">
        <v>0.75</v>
      </c>
      <c r="I48" s="124">
        <f t="shared" ref="I48:I51" si="3">H48*8</f>
        <v>6</v>
      </c>
      <c r="J48" s="44">
        <f>C10</f>
        <v>25</v>
      </c>
      <c r="K48" s="125">
        <f t="shared" ref="K48:K51" si="4">G48*I48*J48*D48</f>
        <v>3300</v>
      </c>
      <c r="L48" s="125">
        <f>K48*C8</f>
        <v>3630</v>
      </c>
      <c r="M48" s="26">
        <f>L48*C5</f>
        <v>10890</v>
      </c>
      <c r="N48" s="95"/>
    </row>
    <row r="49">
      <c r="A49" s="7"/>
      <c r="B49" s="96" t="s">
        <v>480</v>
      </c>
      <c r="C49" s="98" t="s">
        <v>328</v>
      </c>
      <c r="D49" s="101">
        <v>1.0</v>
      </c>
      <c r="E49" s="126">
        <v>280000.0</v>
      </c>
      <c r="F49" s="20">
        <f t="shared" si="2"/>
        <v>280000</v>
      </c>
      <c r="G49" s="127">
        <v>15.0</v>
      </c>
      <c r="H49" s="107">
        <v>0.7</v>
      </c>
      <c r="I49" s="128">
        <f t="shared" si="3"/>
        <v>5.6</v>
      </c>
      <c r="J49" s="129">
        <f>C10</f>
        <v>25</v>
      </c>
      <c r="K49" s="56">
        <f t="shared" si="4"/>
        <v>2100</v>
      </c>
      <c r="L49" s="56">
        <f>K49*C8</f>
        <v>2310</v>
      </c>
      <c r="M49" s="20">
        <f>L49*C5</f>
        <v>6930</v>
      </c>
      <c r="N49" s="99"/>
    </row>
    <row r="50">
      <c r="A50" s="2"/>
      <c r="B50" s="92" t="s">
        <v>481</v>
      </c>
      <c r="C50" s="94" t="s">
        <v>328</v>
      </c>
      <c r="D50" s="102">
        <v>2.0</v>
      </c>
      <c r="E50" s="116">
        <v>55000.0</v>
      </c>
      <c r="F50" s="26">
        <f t="shared" si="2"/>
        <v>110000</v>
      </c>
      <c r="G50" s="123">
        <v>2.2</v>
      </c>
      <c r="H50" s="106">
        <v>0.85</v>
      </c>
      <c r="I50" s="124">
        <f t="shared" si="3"/>
        <v>6.8</v>
      </c>
      <c r="J50" s="44">
        <f>C10</f>
        <v>25</v>
      </c>
      <c r="K50" s="125">
        <f t="shared" si="4"/>
        <v>748</v>
      </c>
      <c r="L50" s="125">
        <f>K50*C8</f>
        <v>822.8</v>
      </c>
      <c r="M50" s="26">
        <f>L50*C5</f>
        <v>2468.4</v>
      </c>
      <c r="N50" s="95"/>
    </row>
    <row r="51">
      <c r="A51" s="7"/>
      <c r="B51" s="96" t="s">
        <v>482</v>
      </c>
      <c r="C51" s="98" t="s">
        <v>483</v>
      </c>
      <c r="D51" s="101">
        <v>1.0</v>
      </c>
      <c r="E51" s="126">
        <v>19000.0</v>
      </c>
      <c r="F51" s="20">
        <f t="shared" si="2"/>
        <v>19000</v>
      </c>
      <c r="G51" s="127">
        <v>0.1</v>
      </c>
      <c r="H51" s="107">
        <v>0.4</v>
      </c>
      <c r="I51" s="128">
        <f t="shared" si="3"/>
        <v>3.2</v>
      </c>
      <c r="J51" s="129">
        <f>C10</f>
        <v>25</v>
      </c>
      <c r="K51" s="56">
        <f t="shared" si="4"/>
        <v>8</v>
      </c>
      <c r="L51" s="56">
        <f>K51*C8</f>
        <v>8.8</v>
      </c>
      <c r="M51" s="20">
        <f>L51*C5</f>
        <v>26.4</v>
      </c>
      <c r="N51" s="99"/>
    </row>
    <row r="52">
      <c r="A52" s="2"/>
      <c r="B52" s="92" t="s">
        <v>484</v>
      </c>
      <c r="C52" s="94" t="s">
        <v>485</v>
      </c>
      <c r="D52" s="102">
        <v>1.0</v>
      </c>
      <c r="E52" s="116">
        <v>425000.0</v>
      </c>
      <c r="F52" s="26">
        <f t="shared" si="2"/>
        <v>425000</v>
      </c>
      <c r="G52" s="123">
        <v>0.0</v>
      </c>
      <c r="H52" s="106">
        <v>0.6</v>
      </c>
      <c r="I52" s="130"/>
      <c r="J52" s="130"/>
      <c r="K52" s="44">
        <v>0.0</v>
      </c>
      <c r="L52" s="125">
        <f>K52*C8</f>
        <v>0</v>
      </c>
      <c r="M52" s="26">
        <f>L52*C5</f>
        <v>0</v>
      </c>
      <c r="N52" s="95" t="s">
        <v>486</v>
      </c>
    </row>
    <row r="53">
      <c r="A53" s="7"/>
      <c r="B53" s="96" t="s">
        <v>336</v>
      </c>
      <c r="C53" s="98" t="s">
        <v>337</v>
      </c>
      <c r="D53" s="101">
        <v>1.0</v>
      </c>
      <c r="E53" s="126">
        <v>30000.0</v>
      </c>
      <c r="F53" s="20">
        <f t="shared" si="2"/>
        <v>30000</v>
      </c>
      <c r="G53" s="127">
        <v>0.0</v>
      </c>
      <c r="H53" s="131"/>
      <c r="I53" s="131"/>
      <c r="J53" s="131"/>
      <c r="K53" s="129">
        <v>0.0</v>
      </c>
      <c r="L53" s="56">
        <f>K53*C8</f>
        <v>0</v>
      </c>
      <c r="M53" s="20">
        <f>L53*C5</f>
        <v>0</v>
      </c>
      <c r="N53" s="99"/>
    </row>
    <row r="54">
      <c r="A54" s="2"/>
      <c r="B54" s="152" t="s">
        <v>487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2">
        <f>2.5*I52*J52*C6</f>
        <v>0</v>
      </c>
      <c r="N54" s="2"/>
    </row>
    <row r="55" ht="18.75" customHeight="1">
      <c r="A55" s="132"/>
      <c r="B55" s="133" t="s">
        <v>338</v>
      </c>
      <c r="C55" s="134"/>
      <c r="D55" s="134"/>
      <c r="E55" s="134"/>
      <c r="F55" s="135">
        <f>SUM(F48:F53)</f>
        <v>1544000</v>
      </c>
      <c r="G55" s="134"/>
      <c r="H55" s="134"/>
      <c r="I55" s="134"/>
      <c r="J55" s="134"/>
      <c r="K55" s="136">
        <f t="shared" ref="K55:L55" si="5">SUM(K48:K53)</f>
        <v>6156</v>
      </c>
      <c r="L55" s="136">
        <f t="shared" si="5"/>
        <v>6771.6</v>
      </c>
      <c r="M55" s="135">
        <f>SUM(M48:M53)+M54</f>
        <v>20314.8</v>
      </c>
      <c r="N55" s="134"/>
    </row>
    <row r="56">
      <c r="A56" s="2"/>
      <c r="B56" s="11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ht="18.75" customHeight="1">
      <c r="A57" s="132"/>
      <c r="B57" s="180" t="s">
        <v>488</v>
      </c>
      <c r="C57" s="4"/>
      <c r="D57" s="4"/>
      <c r="E57" s="4"/>
      <c r="F57" s="5"/>
      <c r="G57" s="181"/>
      <c r="H57" s="181"/>
      <c r="I57" s="181"/>
      <c r="J57" s="181"/>
      <c r="K57" s="181"/>
      <c r="L57" s="181"/>
      <c r="M57" s="181"/>
      <c r="N57" s="181"/>
    </row>
    <row r="58">
      <c r="A58" s="2"/>
      <c r="B58" s="121" t="s">
        <v>340</v>
      </c>
      <c r="C58" s="122" t="s">
        <v>341</v>
      </c>
      <c r="D58" s="122"/>
      <c r="E58" s="122"/>
      <c r="F58" s="122"/>
      <c r="G58" s="30"/>
      <c r="H58" s="30"/>
      <c r="I58" s="30"/>
      <c r="J58" s="30"/>
      <c r="K58" s="30"/>
      <c r="L58" s="30"/>
      <c r="M58" s="30"/>
      <c r="N58" s="30"/>
    </row>
    <row r="59">
      <c r="A59" s="7"/>
      <c r="B59" s="96" t="s">
        <v>342</v>
      </c>
      <c r="C59" s="20">
        <f>F55</f>
        <v>1544000</v>
      </c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</row>
    <row r="60">
      <c r="A60" s="2"/>
      <c r="B60" s="92" t="s">
        <v>343</v>
      </c>
      <c r="C60" s="116">
        <v>280000.0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>
      <c r="A61" s="7"/>
      <c r="B61" s="96" t="s">
        <v>344</v>
      </c>
      <c r="C61" s="126">
        <v>55000.0</v>
      </c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</row>
    <row r="62">
      <c r="A62" s="2"/>
      <c r="B62" s="92" t="s">
        <v>345</v>
      </c>
      <c r="C62" s="26">
        <f>(C79-C67)*2</f>
        <v>1517733.807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ht="18.75" customHeight="1">
      <c r="A63" s="132"/>
      <c r="B63" s="133" t="s">
        <v>346</v>
      </c>
      <c r="C63" s="135">
        <f>SUM(C59:C62)</f>
        <v>3396733.807</v>
      </c>
      <c r="D63" s="132"/>
      <c r="E63" s="132"/>
      <c r="F63" s="132"/>
      <c r="G63" s="132"/>
      <c r="H63" s="132"/>
      <c r="I63" s="132"/>
      <c r="J63" s="132"/>
      <c r="K63" s="132"/>
      <c r="L63" s="132"/>
      <c r="M63" s="132"/>
      <c r="N63" s="132"/>
    </row>
    <row r="64">
      <c r="A64" s="2"/>
      <c r="B64" s="11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>
      <c r="A65" s="7"/>
      <c r="B65" s="180" t="s">
        <v>489</v>
      </c>
      <c r="C65" s="4"/>
      <c r="D65" s="4"/>
      <c r="E65" s="4"/>
      <c r="F65" s="5"/>
      <c r="G65" s="182"/>
      <c r="H65" s="182"/>
      <c r="I65" s="182"/>
      <c r="J65" s="182"/>
      <c r="K65" s="182"/>
      <c r="L65" s="182"/>
      <c r="M65" s="182"/>
      <c r="N65" s="182"/>
    </row>
    <row r="66">
      <c r="A66" s="2"/>
      <c r="B66" s="121" t="s">
        <v>340</v>
      </c>
      <c r="C66" s="122" t="s">
        <v>299</v>
      </c>
      <c r="D66" s="122"/>
      <c r="E66" s="122"/>
      <c r="F66" s="122"/>
      <c r="G66" s="30"/>
      <c r="H66" s="30"/>
      <c r="I66" s="30"/>
      <c r="J66" s="30"/>
      <c r="K66" s="30"/>
      <c r="L66" s="30"/>
      <c r="M66" s="30"/>
      <c r="N66" s="30"/>
    </row>
    <row r="67">
      <c r="A67" s="7"/>
      <c r="B67" s="143" t="s">
        <v>490</v>
      </c>
      <c r="C67" s="20">
        <f>C34*C36*(1-C11)*C40*1000</f>
        <v>3265920</v>
      </c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</row>
    <row r="68">
      <c r="A68" s="2"/>
      <c r="B68" s="92" t="s">
        <v>352</v>
      </c>
      <c r="C68" s="26">
        <f>C41*C12</f>
        <v>39000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>
      <c r="A69" s="7"/>
      <c r="B69" s="96" t="s">
        <v>353</v>
      </c>
      <c r="C69" s="20">
        <f>M55</f>
        <v>20314.8</v>
      </c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</row>
    <row r="70">
      <c r="A70" s="2"/>
      <c r="B70" s="92" t="s">
        <v>491</v>
      </c>
      <c r="C70" s="26">
        <f>M54</f>
        <v>0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>
      <c r="A71" s="7"/>
      <c r="B71" s="96" t="s">
        <v>354</v>
      </c>
      <c r="C71" s="20">
        <f>C42</f>
        <v>175500</v>
      </c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</row>
    <row r="72">
      <c r="A72" s="2"/>
      <c r="B72" s="92" t="s">
        <v>355</v>
      </c>
      <c r="C72" s="116">
        <f>$C$44</f>
        <v>25000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>
      <c r="A73" s="7"/>
      <c r="B73" s="143" t="s">
        <v>356</v>
      </c>
      <c r="C73" s="20">
        <f>C59*0.025/12</f>
        <v>3216.666667</v>
      </c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</row>
    <row r="74">
      <c r="A74" s="2"/>
      <c r="B74" s="92" t="s">
        <v>357</v>
      </c>
      <c r="C74" s="26">
        <f>E93*0.03</f>
        <v>122276.0448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>
      <c r="A75" s="7"/>
      <c r="B75" s="96" t="s">
        <v>358</v>
      </c>
      <c r="C75" s="126">
        <f>$C$45</f>
        <v>4500</v>
      </c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</row>
    <row r="76">
      <c r="A76" s="2"/>
      <c r="B76" s="92" t="s">
        <v>359</v>
      </c>
      <c r="C76" s="26">
        <f>(C59+C60)*0.005/12</f>
        <v>760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>
      <c r="A77" s="35"/>
      <c r="B77" s="144" t="s">
        <v>360</v>
      </c>
      <c r="C77" s="34">
        <f>E91*8/100</f>
        <v>362299.392</v>
      </c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</row>
    <row r="78">
      <c r="A78" s="23"/>
      <c r="B78" s="145" t="s">
        <v>361</v>
      </c>
      <c r="C78" s="146">
        <v>6000.0</v>
      </c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</row>
    <row r="79" ht="18.75" customHeight="1">
      <c r="A79" s="132"/>
      <c r="B79" s="133" t="s">
        <v>362</v>
      </c>
      <c r="C79" s="135">
        <f>SUM(C67:C78)</f>
        <v>4024786.903</v>
      </c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</row>
    <row r="80">
      <c r="A80" s="2"/>
      <c r="B80" s="176" t="s">
        <v>492</v>
      </c>
      <c r="I80" s="2"/>
      <c r="J80" s="2"/>
      <c r="K80" s="2"/>
      <c r="L80" s="2"/>
      <c r="M80" s="2"/>
      <c r="N80" s="2"/>
    </row>
    <row r="81">
      <c r="A81" s="7"/>
      <c r="B81" s="13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</row>
    <row r="82">
      <c r="A82" s="2"/>
      <c r="B82" s="180" t="s">
        <v>493</v>
      </c>
      <c r="C82" s="4"/>
      <c r="D82" s="4"/>
      <c r="E82" s="4"/>
      <c r="F82" s="4"/>
      <c r="G82" s="4"/>
      <c r="H82" s="5"/>
      <c r="I82" s="183"/>
      <c r="J82" s="183"/>
      <c r="K82" s="183"/>
      <c r="L82" s="183"/>
      <c r="M82" s="183"/>
      <c r="N82" s="183"/>
    </row>
    <row r="83">
      <c r="A83" s="7"/>
      <c r="B83" s="121" t="s">
        <v>340</v>
      </c>
      <c r="C83" s="122" t="s">
        <v>235</v>
      </c>
      <c r="D83" s="122" t="s">
        <v>349</v>
      </c>
      <c r="E83" s="122" t="s">
        <v>365</v>
      </c>
      <c r="F83" s="122" t="s">
        <v>350</v>
      </c>
      <c r="G83" s="122"/>
      <c r="H83" s="122"/>
      <c r="I83" s="16"/>
      <c r="J83" s="16"/>
      <c r="K83" s="16"/>
      <c r="L83" s="16"/>
      <c r="M83" s="16"/>
      <c r="N83" s="16"/>
    </row>
    <row r="84">
      <c r="A84" s="2"/>
      <c r="B84" s="92" t="s">
        <v>282</v>
      </c>
      <c r="C84" s="94" t="s">
        <v>283</v>
      </c>
      <c r="D84" s="44">
        <f>C34*C35</f>
        <v>1088.64</v>
      </c>
      <c r="E84" s="44">
        <f>C34*C36</f>
        <v>1451.52</v>
      </c>
      <c r="F84" s="44">
        <f>C34*C37</f>
        <v>2903.04</v>
      </c>
      <c r="G84" s="2"/>
      <c r="H84" s="2"/>
      <c r="I84" s="2"/>
      <c r="J84" s="2"/>
      <c r="K84" s="2"/>
      <c r="L84" s="2"/>
      <c r="M84" s="2"/>
      <c r="N84" s="2"/>
    </row>
    <row r="85">
      <c r="A85" s="7"/>
      <c r="B85" s="96" t="s">
        <v>367</v>
      </c>
      <c r="C85" s="98" t="s">
        <v>283</v>
      </c>
      <c r="D85" s="56">
        <f>D84*C35</f>
        <v>326.592</v>
      </c>
      <c r="E85" s="56">
        <f>E84*C36</f>
        <v>580.608</v>
      </c>
      <c r="F85" s="56">
        <f>F84*C37</f>
        <v>2322.432</v>
      </c>
      <c r="G85" s="7"/>
      <c r="H85" s="7"/>
      <c r="I85" s="7"/>
      <c r="J85" s="7"/>
      <c r="K85" s="7"/>
      <c r="L85" s="7"/>
      <c r="M85" s="7"/>
      <c r="N85" s="7"/>
    </row>
    <row r="86">
      <c r="A86" s="2"/>
      <c r="B86" s="92" t="s">
        <v>369</v>
      </c>
      <c r="C86" s="94" t="s">
        <v>243</v>
      </c>
      <c r="D86" s="153">
        <f>C39</f>
        <v>4.5</v>
      </c>
      <c r="E86" s="153">
        <f>C39</f>
        <v>4.5</v>
      </c>
      <c r="F86" s="153">
        <f>C39</f>
        <v>4.5</v>
      </c>
      <c r="G86" s="2"/>
      <c r="H86" s="2"/>
      <c r="I86" s="2"/>
      <c r="J86" s="2"/>
      <c r="K86" s="2"/>
      <c r="L86" s="2"/>
      <c r="M86" s="2"/>
      <c r="N86" s="2"/>
    </row>
    <row r="87">
      <c r="A87" s="7"/>
      <c r="B87" s="163" t="s">
        <v>370</v>
      </c>
      <c r="C87" s="98" t="s">
        <v>299</v>
      </c>
      <c r="D87" s="34">
        <f>D85*1000*C38*D86</f>
        <v>1322697.6</v>
      </c>
      <c r="E87" s="34">
        <f>E85*1000*C38*E86</f>
        <v>2351462.4</v>
      </c>
      <c r="F87" s="34">
        <f>F85*1000*C38*F86</f>
        <v>9405849.6</v>
      </c>
      <c r="G87" s="7"/>
      <c r="H87" s="7"/>
      <c r="I87" s="7"/>
      <c r="J87" s="7"/>
      <c r="K87" s="7"/>
      <c r="L87" s="7"/>
      <c r="M87" s="7"/>
      <c r="N87" s="7"/>
    </row>
    <row r="88">
      <c r="A88" s="2"/>
      <c r="B88" s="92" t="s">
        <v>371</v>
      </c>
      <c r="C88" s="94" t="s">
        <v>283</v>
      </c>
      <c r="D88" s="125">
        <f>D84*(1-C35)</f>
        <v>762.048</v>
      </c>
      <c r="E88" s="125">
        <f>E84*(1-C36)</f>
        <v>870.912</v>
      </c>
      <c r="F88" s="125">
        <f>F84*(1-C37)</f>
        <v>580.608</v>
      </c>
      <c r="G88" s="2"/>
      <c r="H88" s="2"/>
      <c r="I88" s="2"/>
      <c r="J88" s="2"/>
      <c r="K88" s="2"/>
      <c r="L88" s="2"/>
      <c r="M88" s="2"/>
      <c r="N88" s="2"/>
    </row>
    <row r="89">
      <c r="A89" s="7"/>
      <c r="B89" s="96" t="s">
        <v>372</v>
      </c>
      <c r="C89" s="98" t="s">
        <v>243</v>
      </c>
      <c r="D89" s="151">
        <f>C40</f>
        <v>2.5</v>
      </c>
      <c r="E89" s="151">
        <f>C40</f>
        <v>2.5</v>
      </c>
      <c r="F89" s="151">
        <f>C40</f>
        <v>2.5</v>
      </c>
      <c r="G89" s="7"/>
      <c r="H89" s="7"/>
      <c r="I89" s="7"/>
      <c r="J89" s="7"/>
      <c r="K89" s="7"/>
      <c r="L89" s="7"/>
      <c r="M89" s="7"/>
      <c r="N89" s="7"/>
    </row>
    <row r="90">
      <c r="A90" s="2"/>
      <c r="B90" s="92" t="s">
        <v>373</v>
      </c>
      <c r="C90" s="94" t="s">
        <v>299</v>
      </c>
      <c r="D90" s="26">
        <f t="shared" ref="D90:F90" si="6">D88*1000*D89</f>
        <v>1905120</v>
      </c>
      <c r="E90" s="26">
        <f t="shared" si="6"/>
        <v>2177280</v>
      </c>
      <c r="F90" s="26">
        <f t="shared" si="6"/>
        <v>1451520</v>
      </c>
      <c r="G90" s="2"/>
      <c r="H90" s="2"/>
      <c r="I90" s="2"/>
      <c r="J90" s="2"/>
      <c r="K90" s="2"/>
      <c r="L90" s="2"/>
      <c r="M90" s="2"/>
      <c r="N90" s="2"/>
    </row>
    <row r="91" ht="18.75" customHeight="1">
      <c r="A91" s="132"/>
      <c r="B91" s="133" t="s">
        <v>374</v>
      </c>
      <c r="C91" s="154" t="s">
        <v>299</v>
      </c>
      <c r="D91" s="135">
        <f t="shared" ref="D91:F91" si="7">D87+D90</f>
        <v>3227817.6</v>
      </c>
      <c r="E91" s="135">
        <f t="shared" si="7"/>
        <v>4528742.4</v>
      </c>
      <c r="F91" s="135">
        <f t="shared" si="7"/>
        <v>10857369.6</v>
      </c>
      <c r="G91" s="132"/>
      <c r="H91" s="132"/>
      <c r="I91" s="132"/>
      <c r="J91" s="132"/>
      <c r="K91" s="132"/>
      <c r="L91" s="132"/>
      <c r="M91" s="132"/>
      <c r="N91" s="132"/>
    </row>
    <row r="92">
      <c r="A92" s="2"/>
      <c r="B92" s="92" t="s">
        <v>375</v>
      </c>
      <c r="C92" s="94" t="s">
        <v>299</v>
      </c>
      <c r="D92" s="26">
        <f>-D91*C11</f>
        <v>-322781.76</v>
      </c>
      <c r="E92" s="26">
        <f>-E91*C11</f>
        <v>-452874.24</v>
      </c>
      <c r="F92" s="26">
        <f>-F91*C11</f>
        <v>-1085736.96</v>
      </c>
      <c r="G92" s="2"/>
      <c r="H92" s="2"/>
      <c r="I92" s="2"/>
      <c r="J92" s="2"/>
      <c r="K92" s="2"/>
      <c r="L92" s="2"/>
      <c r="M92" s="2"/>
      <c r="N92" s="2"/>
    </row>
    <row r="93" ht="18.75" customHeight="1">
      <c r="A93" s="132"/>
      <c r="B93" s="133" t="s">
        <v>376</v>
      </c>
      <c r="C93" s="154" t="s">
        <v>299</v>
      </c>
      <c r="D93" s="135">
        <f t="shared" ref="D93:F93" si="8">D91+D92</f>
        <v>2905035.84</v>
      </c>
      <c r="E93" s="135">
        <f t="shared" si="8"/>
        <v>4075868.16</v>
      </c>
      <c r="F93" s="135">
        <f t="shared" si="8"/>
        <v>9771632.64</v>
      </c>
      <c r="G93" s="132"/>
      <c r="H93" s="132"/>
      <c r="I93" s="132"/>
      <c r="J93" s="132"/>
      <c r="K93" s="132"/>
      <c r="L93" s="132"/>
      <c r="M93" s="132"/>
      <c r="N93" s="132"/>
    </row>
    <row r="94">
      <c r="A94" s="2"/>
      <c r="B94" s="176" t="s">
        <v>377</v>
      </c>
      <c r="I94" s="2"/>
      <c r="J94" s="2"/>
      <c r="K94" s="2"/>
      <c r="L94" s="2"/>
      <c r="M94" s="2"/>
      <c r="N94" s="2"/>
    </row>
    <row r="95">
      <c r="A95" s="7"/>
      <c r="B95" s="13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</row>
    <row r="96">
      <c r="A96" s="2"/>
      <c r="B96" s="180" t="s">
        <v>494</v>
      </c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5"/>
    </row>
    <row r="97">
      <c r="A97" s="7"/>
      <c r="B97" s="180" t="s">
        <v>379</v>
      </c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5"/>
    </row>
    <row r="98">
      <c r="A98" s="2"/>
      <c r="B98" s="121" t="s">
        <v>340</v>
      </c>
      <c r="C98" s="122" t="s">
        <v>380</v>
      </c>
      <c r="D98" s="122" t="s">
        <v>381</v>
      </c>
      <c r="E98" s="122" t="s">
        <v>382</v>
      </c>
      <c r="F98" s="122" t="s">
        <v>383</v>
      </c>
      <c r="G98" s="122" t="s">
        <v>384</v>
      </c>
      <c r="H98" s="122" t="s">
        <v>385</v>
      </c>
      <c r="I98" s="122" t="s">
        <v>386</v>
      </c>
      <c r="J98" s="122" t="s">
        <v>387</v>
      </c>
      <c r="K98" s="122" t="s">
        <v>388</v>
      </c>
      <c r="L98" s="122" t="s">
        <v>389</v>
      </c>
      <c r="M98" s="184"/>
      <c r="N98" s="184"/>
    </row>
    <row r="99">
      <c r="A99" s="7"/>
      <c r="B99" s="96" t="s">
        <v>390</v>
      </c>
      <c r="C99" s="20">
        <f>D91*12*C22</f>
        <v>19366905.6</v>
      </c>
      <c r="D99" s="20">
        <f>D91*12*C23</f>
        <v>29050358.4</v>
      </c>
      <c r="E99" s="20">
        <f>D91*12*C24</f>
        <v>38733811.2</v>
      </c>
      <c r="F99" s="20">
        <f>D91*12*C24</f>
        <v>38733811.2</v>
      </c>
      <c r="G99" s="20">
        <f>D91*12*C24</f>
        <v>38733811.2</v>
      </c>
      <c r="H99" s="20">
        <f>D91*12*C24</f>
        <v>38733811.2</v>
      </c>
      <c r="I99" s="20">
        <f>D91*12*C24</f>
        <v>38733811.2</v>
      </c>
      <c r="J99" s="20">
        <f>D91*12*C24</f>
        <v>38733811.2</v>
      </c>
      <c r="K99" s="20">
        <f>D91*12*C24</f>
        <v>38733811.2</v>
      </c>
      <c r="L99" s="20">
        <f>D91*12*C24</f>
        <v>38733811.2</v>
      </c>
      <c r="M99" s="7"/>
      <c r="N99" s="7"/>
    </row>
    <row r="100">
      <c r="A100" s="2"/>
      <c r="B100" s="92" t="s">
        <v>375</v>
      </c>
      <c r="C100" s="26">
        <f>-C99*C11</f>
        <v>-1936690.56</v>
      </c>
      <c r="D100" s="26">
        <f>-D99*C11</f>
        <v>-2905035.84</v>
      </c>
      <c r="E100" s="26">
        <f>-E99*C11</f>
        <v>-3873381.12</v>
      </c>
      <c r="F100" s="26">
        <f>-F99*C11</f>
        <v>-3873381.12</v>
      </c>
      <c r="G100" s="26">
        <f>-G99*C11</f>
        <v>-3873381.12</v>
      </c>
      <c r="H100" s="26">
        <f>-H99*C11</f>
        <v>-3873381.12</v>
      </c>
      <c r="I100" s="26">
        <f>-I99*C11</f>
        <v>-3873381.12</v>
      </c>
      <c r="J100" s="26">
        <f>-J99*C11</f>
        <v>-3873381.12</v>
      </c>
      <c r="K100" s="26">
        <f>-K99*C11</f>
        <v>-3873381.12</v>
      </c>
      <c r="L100" s="26">
        <f>-L99*C11</f>
        <v>-3873381.12</v>
      </c>
      <c r="M100" s="2"/>
      <c r="N100" s="2"/>
    </row>
    <row r="101">
      <c r="A101" s="7"/>
      <c r="B101" s="163" t="s">
        <v>391</v>
      </c>
      <c r="C101" s="34">
        <f t="shared" ref="C101:L101" si="9">C99+C100</f>
        <v>17430215.04</v>
      </c>
      <c r="D101" s="34">
        <f t="shared" si="9"/>
        <v>26145322.56</v>
      </c>
      <c r="E101" s="34">
        <f t="shared" si="9"/>
        <v>34860430.08</v>
      </c>
      <c r="F101" s="34">
        <f t="shared" si="9"/>
        <v>34860430.08</v>
      </c>
      <c r="G101" s="34">
        <f t="shared" si="9"/>
        <v>34860430.08</v>
      </c>
      <c r="H101" s="34">
        <f t="shared" si="9"/>
        <v>34860430.08</v>
      </c>
      <c r="I101" s="34">
        <f t="shared" si="9"/>
        <v>34860430.08</v>
      </c>
      <c r="J101" s="34">
        <f t="shared" si="9"/>
        <v>34860430.08</v>
      </c>
      <c r="K101" s="34">
        <f t="shared" si="9"/>
        <v>34860430.08</v>
      </c>
      <c r="L101" s="34">
        <f t="shared" si="9"/>
        <v>34860430.08</v>
      </c>
      <c r="M101" s="35"/>
      <c r="N101" s="35"/>
    </row>
    <row r="102">
      <c r="A102" s="2"/>
      <c r="B102" s="92" t="s">
        <v>392</v>
      </c>
      <c r="C102" s="26">
        <f>-C79*12*C22</f>
        <v>-24148721.42</v>
      </c>
      <c r="D102" s="26">
        <f>-C79*12*C23</f>
        <v>-36223082.13</v>
      </c>
      <c r="E102" s="26">
        <f>-C79*12*C24</f>
        <v>-48297442.84</v>
      </c>
      <c r="F102" s="26">
        <f>-C79*12*C24</f>
        <v>-48297442.84</v>
      </c>
      <c r="G102" s="26">
        <f>-C79*12*C24</f>
        <v>-48297442.84</v>
      </c>
      <c r="H102" s="26">
        <f>-C79*12*C24</f>
        <v>-48297442.84</v>
      </c>
      <c r="I102" s="26">
        <f>-C79*12*C24</f>
        <v>-48297442.84</v>
      </c>
      <c r="J102" s="26">
        <f>-C79*12*C24</f>
        <v>-48297442.84</v>
      </c>
      <c r="K102" s="26">
        <f>-C79*12*C24</f>
        <v>-48297442.84</v>
      </c>
      <c r="L102" s="26">
        <f>-C79*12*C24</f>
        <v>-48297442.84</v>
      </c>
      <c r="M102" s="2"/>
      <c r="N102" s="2"/>
    </row>
    <row r="103">
      <c r="A103" s="7"/>
      <c r="B103" s="163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7"/>
      <c r="N103" s="7"/>
    </row>
    <row r="104" ht="18.75" customHeight="1">
      <c r="A104" s="160"/>
      <c r="B104" s="161" t="s">
        <v>393</v>
      </c>
      <c r="C104" s="162">
        <f t="shared" ref="C104:L104" si="10">C101+C102</f>
        <v>-6718506.381</v>
      </c>
      <c r="D104" s="162">
        <f t="shared" si="10"/>
        <v>-10077759.57</v>
      </c>
      <c r="E104" s="162">
        <f t="shared" si="10"/>
        <v>-13437012.76</v>
      </c>
      <c r="F104" s="162">
        <f t="shared" si="10"/>
        <v>-13437012.76</v>
      </c>
      <c r="G104" s="162">
        <f t="shared" si="10"/>
        <v>-13437012.76</v>
      </c>
      <c r="H104" s="162">
        <f t="shared" si="10"/>
        <v>-13437012.76</v>
      </c>
      <c r="I104" s="162">
        <f t="shared" si="10"/>
        <v>-13437012.76</v>
      </c>
      <c r="J104" s="162">
        <f t="shared" si="10"/>
        <v>-13437012.76</v>
      </c>
      <c r="K104" s="162">
        <f t="shared" si="10"/>
        <v>-13437012.76</v>
      </c>
      <c r="L104" s="162">
        <f t="shared" si="10"/>
        <v>-13437012.76</v>
      </c>
      <c r="M104" s="160"/>
      <c r="N104" s="160"/>
    </row>
    <row r="105">
      <c r="A105" s="7"/>
      <c r="B105" s="96" t="s">
        <v>394</v>
      </c>
      <c r="C105" s="24">
        <f t="shared" ref="C105:L105" si="11">IF(C101=0,0,C104/C101)</f>
        <v>-0.3854517208</v>
      </c>
      <c r="D105" s="24">
        <f t="shared" si="11"/>
        <v>-0.3854517208</v>
      </c>
      <c r="E105" s="24">
        <f t="shared" si="11"/>
        <v>-0.3854517208</v>
      </c>
      <c r="F105" s="24">
        <f t="shared" si="11"/>
        <v>-0.3854517208</v>
      </c>
      <c r="G105" s="24">
        <f t="shared" si="11"/>
        <v>-0.3854517208</v>
      </c>
      <c r="H105" s="24">
        <f t="shared" si="11"/>
        <v>-0.3854517208</v>
      </c>
      <c r="I105" s="24">
        <f t="shared" si="11"/>
        <v>-0.3854517208</v>
      </c>
      <c r="J105" s="24">
        <f t="shared" si="11"/>
        <v>-0.3854517208</v>
      </c>
      <c r="K105" s="24">
        <f t="shared" si="11"/>
        <v>-0.3854517208</v>
      </c>
      <c r="L105" s="24">
        <f t="shared" si="11"/>
        <v>-0.3854517208</v>
      </c>
      <c r="M105" s="7"/>
      <c r="N105" s="7"/>
    </row>
    <row r="106">
      <c r="A106" s="2"/>
      <c r="B106" s="92" t="s">
        <v>395</v>
      </c>
      <c r="C106" s="26">
        <f>-(C59/C18+C60/20)</f>
        <v>-168400</v>
      </c>
      <c r="D106" s="26">
        <f>-(C59/C18+C60/20)</f>
        <v>-168400</v>
      </c>
      <c r="E106" s="26">
        <f>-(C59/C18+C60/20)</f>
        <v>-168400</v>
      </c>
      <c r="F106" s="26">
        <f>-(C59/C18+C60/20)</f>
        <v>-168400</v>
      </c>
      <c r="G106" s="26">
        <f>-(C59/C18+C60/20)</f>
        <v>-168400</v>
      </c>
      <c r="H106" s="26">
        <f>-(C59/C18+C60/20)</f>
        <v>-168400</v>
      </c>
      <c r="I106" s="26">
        <f>-(C59/C18+C60/20)</f>
        <v>-168400</v>
      </c>
      <c r="J106" s="26">
        <f>-(C59/C18+C60/20)</f>
        <v>-168400</v>
      </c>
      <c r="K106" s="26">
        <f>-(C59/C18+C60/20)</f>
        <v>-168400</v>
      </c>
      <c r="L106" s="26">
        <f>-(C59/C18+C60/20)</f>
        <v>-168400</v>
      </c>
      <c r="M106" s="2"/>
      <c r="N106" s="2"/>
    </row>
    <row r="107">
      <c r="A107" s="7"/>
      <c r="B107" s="163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7"/>
      <c r="N107" s="7"/>
    </row>
    <row r="108">
      <c r="A108" s="2"/>
      <c r="B108" s="152" t="s">
        <v>396</v>
      </c>
      <c r="C108" s="22">
        <f t="shared" ref="C108:L108" si="12">C104+C106</f>
        <v>-6886906.381</v>
      </c>
      <c r="D108" s="22">
        <f t="shared" si="12"/>
        <v>-10246159.57</v>
      </c>
      <c r="E108" s="22">
        <f t="shared" si="12"/>
        <v>-13605412.76</v>
      </c>
      <c r="F108" s="22">
        <f t="shared" si="12"/>
        <v>-13605412.76</v>
      </c>
      <c r="G108" s="22">
        <f t="shared" si="12"/>
        <v>-13605412.76</v>
      </c>
      <c r="H108" s="22">
        <f t="shared" si="12"/>
        <v>-13605412.76</v>
      </c>
      <c r="I108" s="22">
        <f t="shared" si="12"/>
        <v>-13605412.76</v>
      </c>
      <c r="J108" s="22">
        <f t="shared" si="12"/>
        <v>-13605412.76</v>
      </c>
      <c r="K108" s="22">
        <f t="shared" si="12"/>
        <v>-13605412.76</v>
      </c>
      <c r="L108" s="22">
        <f t="shared" si="12"/>
        <v>-13605412.76</v>
      </c>
      <c r="M108" s="23"/>
      <c r="N108" s="23"/>
    </row>
    <row r="109">
      <c r="A109" s="7"/>
      <c r="B109" s="96" t="s">
        <v>397</v>
      </c>
      <c r="C109" s="20">
        <f t="shared" ref="C109:L109" si="13">-D175</f>
        <v>-275135.4384</v>
      </c>
      <c r="D109" s="20">
        <f t="shared" si="13"/>
        <v>-229279.532</v>
      </c>
      <c r="E109" s="20">
        <f t="shared" si="13"/>
        <v>-183423.6256</v>
      </c>
      <c r="F109" s="20">
        <f t="shared" si="13"/>
        <v>-137567.7192</v>
      </c>
      <c r="G109" s="20">
        <f t="shared" si="13"/>
        <v>-91711.81279</v>
      </c>
      <c r="H109" s="20">
        <f t="shared" si="13"/>
        <v>-45855.90639</v>
      </c>
      <c r="I109" s="20">
        <f t="shared" si="13"/>
        <v>0</v>
      </c>
      <c r="J109" s="20">
        <f t="shared" si="13"/>
        <v>0</v>
      </c>
      <c r="K109" s="20">
        <f t="shared" si="13"/>
        <v>0</v>
      </c>
      <c r="L109" s="20">
        <f t="shared" si="13"/>
        <v>0</v>
      </c>
      <c r="M109" s="7"/>
      <c r="N109" s="7"/>
    </row>
    <row r="110">
      <c r="A110" s="2"/>
      <c r="B110" s="92" t="s">
        <v>398</v>
      </c>
      <c r="C110" s="26">
        <f t="shared" ref="C110:L110" si="14">C108+C109</f>
        <v>-7162041.819</v>
      </c>
      <c r="D110" s="26">
        <f t="shared" si="14"/>
        <v>-10475439.1</v>
      </c>
      <c r="E110" s="26">
        <f t="shared" si="14"/>
        <v>-13788836.39</v>
      </c>
      <c r="F110" s="26">
        <f t="shared" si="14"/>
        <v>-13742980.48</v>
      </c>
      <c r="G110" s="26">
        <f t="shared" si="14"/>
        <v>-13697124.57</v>
      </c>
      <c r="H110" s="26">
        <f t="shared" si="14"/>
        <v>-13651268.67</v>
      </c>
      <c r="I110" s="26">
        <f t="shared" si="14"/>
        <v>-13605412.76</v>
      </c>
      <c r="J110" s="26">
        <f t="shared" si="14"/>
        <v>-13605412.76</v>
      </c>
      <c r="K110" s="26">
        <f t="shared" si="14"/>
        <v>-13605412.76</v>
      </c>
      <c r="L110" s="26">
        <f t="shared" si="14"/>
        <v>-13605412.76</v>
      </c>
      <c r="M110" s="2"/>
      <c r="N110" s="2"/>
    </row>
    <row r="111">
      <c r="A111" s="7"/>
      <c r="B111" s="96" t="s">
        <v>399</v>
      </c>
      <c r="C111" s="20">
        <f>-MAX(0,C110)*C15</f>
        <v>0</v>
      </c>
      <c r="D111" s="20">
        <f>-MAX(0,D110)*C15</f>
        <v>0</v>
      </c>
      <c r="E111" s="20">
        <f>-MAX(0,E110)*C15</f>
        <v>0</v>
      </c>
      <c r="F111" s="20">
        <f>-MAX(0,F110)*C15</f>
        <v>0</v>
      </c>
      <c r="G111" s="20">
        <f>-MAX(0,G110)*C15</f>
        <v>0</v>
      </c>
      <c r="H111" s="20">
        <f>-MAX(0,H110)*C15</f>
        <v>0</v>
      </c>
      <c r="I111" s="20">
        <f>-MAX(0,I110)*C15</f>
        <v>0</v>
      </c>
      <c r="J111" s="20">
        <f>-MAX(0,J110)*C15</f>
        <v>0</v>
      </c>
      <c r="K111" s="20">
        <f>-MAX(0,K110)*C15</f>
        <v>0</v>
      </c>
      <c r="L111" s="20">
        <f>-MAX(0,L110)*C15</f>
        <v>0</v>
      </c>
      <c r="M111" s="7"/>
      <c r="N111" s="7"/>
    </row>
    <row r="112">
      <c r="A112" s="2"/>
      <c r="B112" s="92" t="s">
        <v>400</v>
      </c>
      <c r="C112" s="26">
        <f>-MAX(0,C110)*C16</f>
        <v>0</v>
      </c>
      <c r="D112" s="26">
        <f>-MAX(0,D110)*C16</f>
        <v>0</v>
      </c>
      <c r="E112" s="26">
        <f>-MAX(0,E110)*C16</f>
        <v>0</v>
      </c>
      <c r="F112" s="26">
        <f>-MAX(0,F110)*C16</f>
        <v>0</v>
      </c>
      <c r="G112" s="26">
        <f>-MAX(0,G110)*C16</f>
        <v>0</v>
      </c>
      <c r="H112" s="26">
        <f>-MAX(0,H110)*C16</f>
        <v>0</v>
      </c>
      <c r="I112" s="26">
        <f>-MAX(0,I110)*C16</f>
        <v>0</v>
      </c>
      <c r="J112" s="26">
        <f>-MAX(0,J110)*C16</f>
        <v>0</v>
      </c>
      <c r="K112" s="26">
        <f>-MAX(0,K110)*C16</f>
        <v>0</v>
      </c>
      <c r="L112" s="26">
        <f>-MAX(0,L110)*C16</f>
        <v>0</v>
      </c>
      <c r="M112" s="2"/>
      <c r="N112" s="2"/>
    </row>
    <row r="113">
      <c r="A113" s="7"/>
      <c r="B113" s="163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7"/>
      <c r="N113" s="7"/>
    </row>
    <row r="114" ht="18.75" customHeight="1">
      <c r="A114" s="160"/>
      <c r="B114" s="161" t="s">
        <v>401</v>
      </c>
      <c r="C114" s="162">
        <f t="shared" ref="C114:L114" si="15">C110+C111+C112</f>
        <v>-7162041.819</v>
      </c>
      <c r="D114" s="162">
        <f t="shared" si="15"/>
        <v>-10475439.1</v>
      </c>
      <c r="E114" s="162">
        <f t="shared" si="15"/>
        <v>-13788836.39</v>
      </c>
      <c r="F114" s="162">
        <f t="shared" si="15"/>
        <v>-13742980.48</v>
      </c>
      <c r="G114" s="162">
        <f t="shared" si="15"/>
        <v>-13697124.57</v>
      </c>
      <c r="H114" s="162">
        <f t="shared" si="15"/>
        <v>-13651268.67</v>
      </c>
      <c r="I114" s="162">
        <f t="shared" si="15"/>
        <v>-13605412.76</v>
      </c>
      <c r="J114" s="162">
        <f t="shared" si="15"/>
        <v>-13605412.76</v>
      </c>
      <c r="K114" s="162">
        <f t="shared" si="15"/>
        <v>-13605412.76</v>
      </c>
      <c r="L114" s="162">
        <f t="shared" si="15"/>
        <v>-13605412.76</v>
      </c>
      <c r="M114" s="160"/>
      <c r="N114" s="160"/>
    </row>
    <row r="115">
      <c r="A115" s="7"/>
      <c r="B115" s="96" t="s">
        <v>402</v>
      </c>
      <c r="C115" s="20">
        <f>-MAX(0,C114)*C17</f>
        <v>0</v>
      </c>
      <c r="D115" s="20">
        <f>-MAX(0,D114)*C17</f>
        <v>0</v>
      </c>
      <c r="E115" s="20">
        <f>-MAX(0,E114)*C17</f>
        <v>0</v>
      </c>
      <c r="F115" s="20">
        <f>-MAX(0,F114)*C17</f>
        <v>0</v>
      </c>
      <c r="G115" s="20">
        <f>-MAX(0,G114)*C17</f>
        <v>0</v>
      </c>
      <c r="H115" s="20">
        <f>-MAX(0,H114)*C17</f>
        <v>0</v>
      </c>
      <c r="I115" s="20">
        <f>-MAX(0,I114)*C17</f>
        <v>0</v>
      </c>
      <c r="J115" s="20">
        <f>-MAX(0,J114)*C17</f>
        <v>0</v>
      </c>
      <c r="K115" s="20">
        <f>-MAX(0,K114)*C17</f>
        <v>0</v>
      </c>
      <c r="L115" s="20">
        <f>-MAX(0,L114)*C17</f>
        <v>0</v>
      </c>
      <c r="M115" s="7"/>
      <c r="N115" s="7"/>
    </row>
    <row r="116" ht="18.75" customHeight="1">
      <c r="A116" s="160"/>
      <c r="B116" s="161" t="s">
        <v>403</v>
      </c>
      <c r="C116" s="162">
        <f t="shared" ref="C116:L116" si="16">C114+C115</f>
        <v>-7162041.819</v>
      </c>
      <c r="D116" s="162">
        <f t="shared" si="16"/>
        <v>-10475439.1</v>
      </c>
      <c r="E116" s="162">
        <f t="shared" si="16"/>
        <v>-13788836.39</v>
      </c>
      <c r="F116" s="162">
        <f t="shared" si="16"/>
        <v>-13742980.48</v>
      </c>
      <c r="G116" s="162">
        <f t="shared" si="16"/>
        <v>-13697124.57</v>
      </c>
      <c r="H116" s="162">
        <f t="shared" si="16"/>
        <v>-13651268.67</v>
      </c>
      <c r="I116" s="162">
        <f t="shared" si="16"/>
        <v>-13605412.76</v>
      </c>
      <c r="J116" s="162">
        <f t="shared" si="16"/>
        <v>-13605412.76</v>
      </c>
      <c r="K116" s="162">
        <f t="shared" si="16"/>
        <v>-13605412.76</v>
      </c>
      <c r="L116" s="162">
        <f t="shared" si="16"/>
        <v>-13605412.76</v>
      </c>
      <c r="M116" s="160"/>
      <c r="N116" s="160"/>
    </row>
    <row r="117">
      <c r="A117" s="7"/>
      <c r="B117" s="13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</row>
    <row r="118">
      <c r="A118" s="2"/>
      <c r="B118" s="180" t="s">
        <v>404</v>
      </c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5"/>
    </row>
    <row r="119">
      <c r="A119" s="7"/>
      <c r="B119" s="121" t="s">
        <v>340</v>
      </c>
      <c r="C119" s="122" t="s">
        <v>380</v>
      </c>
      <c r="D119" s="122" t="s">
        <v>381</v>
      </c>
      <c r="E119" s="122" t="s">
        <v>382</v>
      </c>
      <c r="F119" s="122" t="s">
        <v>383</v>
      </c>
      <c r="G119" s="122" t="s">
        <v>384</v>
      </c>
      <c r="H119" s="122" t="s">
        <v>385</v>
      </c>
      <c r="I119" s="122" t="s">
        <v>386</v>
      </c>
      <c r="J119" s="122" t="s">
        <v>387</v>
      </c>
      <c r="K119" s="122" t="s">
        <v>388</v>
      </c>
      <c r="L119" s="122" t="s">
        <v>389</v>
      </c>
      <c r="M119" s="184"/>
      <c r="N119" s="184"/>
    </row>
    <row r="120">
      <c r="A120" s="2"/>
      <c r="B120" s="92" t="s">
        <v>390</v>
      </c>
      <c r="C120" s="26">
        <f>E91*12*C22</f>
        <v>27172454.4</v>
      </c>
      <c r="D120" s="26">
        <f>E91*12*C23</f>
        <v>40758681.6</v>
      </c>
      <c r="E120" s="26">
        <f>E91*12*C24</f>
        <v>54344908.8</v>
      </c>
      <c r="F120" s="26">
        <f>E91*12*C24</f>
        <v>54344908.8</v>
      </c>
      <c r="G120" s="26">
        <f>E91*12*C24</f>
        <v>54344908.8</v>
      </c>
      <c r="H120" s="26">
        <f>E91*12*C24</f>
        <v>54344908.8</v>
      </c>
      <c r="I120" s="26">
        <f>E91*12*C24</f>
        <v>54344908.8</v>
      </c>
      <c r="J120" s="26">
        <f>E91*12*C24</f>
        <v>54344908.8</v>
      </c>
      <c r="K120" s="26">
        <f>E91*12*C24</f>
        <v>54344908.8</v>
      </c>
      <c r="L120" s="26">
        <f>E91*12*C24</f>
        <v>54344908.8</v>
      </c>
      <c r="M120" s="2"/>
      <c r="N120" s="2"/>
    </row>
    <row r="121">
      <c r="A121" s="7"/>
      <c r="B121" s="96" t="s">
        <v>375</v>
      </c>
      <c r="C121" s="20">
        <f>-C120*C11</f>
        <v>-2717245.44</v>
      </c>
      <c r="D121" s="20">
        <f>-D120*C11</f>
        <v>-4075868.16</v>
      </c>
      <c r="E121" s="20">
        <f>-E120*C11</f>
        <v>-5434490.88</v>
      </c>
      <c r="F121" s="20">
        <f>-F120*C11</f>
        <v>-5434490.88</v>
      </c>
      <c r="G121" s="20">
        <f>-G120*C11</f>
        <v>-5434490.88</v>
      </c>
      <c r="H121" s="20">
        <f>-H120*C11</f>
        <v>-5434490.88</v>
      </c>
      <c r="I121" s="20">
        <f>-I120*C11</f>
        <v>-5434490.88</v>
      </c>
      <c r="J121" s="20">
        <f>-J120*C11</f>
        <v>-5434490.88</v>
      </c>
      <c r="K121" s="20">
        <f>-K120*C11</f>
        <v>-5434490.88</v>
      </c>
      <c r="L121" s="20">
        <f>-L120*C11</f>
        <v>-5434490.88</v>
      </c>
      <c r="M121" s="7"/>
      <c r="N121" s="7"/>
    </row>
    <row r="122">
      <c r="A122" s="2"/>
      <c r="B122" s="15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"/>
      <c r="N122" s="2"/>
    </row>
    <row r="123">
      <c r="A123" s="7"/>
      <c r="B123" s="163" t="s">
        <v>391</v>
      </c>
      <c r="C123" s="34">
        <f t="shared" ref="C123:L123" si="17">C120+C121</f>
        <v>24455208.96</v>
      </c>
      <c r="D123" s="34">
        <f t="shared" si="17"/>
        <v>36682813.44</v>
      </c>
      <c r="E123" s="34">
        <f t="shared" si="17"/>
        <v>48910417.92</v>
      </c>
      <c r="F123" s="34">
        <f t="shared" si="17"/>
        <v>48910417.92</v>
      </c>
      <c r="G123" s="34">
        <f t="shared" si="17"/>
        <v>48910417.92</v>
      </c>
      <c r="H123" s="34">
        <f t="shared" si="17"/>
        <v>48910417.92</v>
      </c>
      <c r="I123" s="34">
        <f t="shared" si="17"/>
        <v>48910417.92</v>
      </c>
      <c r="J123" s="34">
        <f t="shared" si="17"/>
        <v>48910417.92</v>
      </c>
      <c r="K123" s="34">
        <f t="shared" si="17"/>
        <v>48910417.92</v>
      </c>
      <c r="L123" s="34">
        <f t="shared" si="17"/>
        <v>48910417.92</v>
      </c>
      <c r="M123" s="35"/>
      <c r="N123" s="35"/>
    </row>
    <row r="124">
      <c r="A124" s="2"/>
      <c r="B124" s="92" t="s">
        <v>392</v>
      </c>
      <c r="C124" s="26">
        <f>-C79*12*C22</f>
        <v>-24148721.42</v>
      </c>
      <c r="D124" s="26">
        <f>-C79*12*C23</f>
        <v>-36223082.13</v>
      </c>
      <c r="E124" s="26">
        <f>-C79*12*C24</f>
        <v>-48297442.84</v>
      </c>
      <c r="F124" s="26">
        <f>-C79*12*C24</f>
        <v>-48297442.84</v>
      </c>
      <c r="G124" s="26">
        <f>-C79*12*C24</f>
        <v>-48297442.84</v>
      </c>
      <c r="H124" s="26">
        <f>-C79*12*C24</f>
        <v>-48297442.84</v>
      </c>
      <c r="I124" s="26">
        <f>-C79*12*C24</f>
        <v>-48297442.84</v>
      </c>
      <c r="J124" s="26">
        <f>-C79*12*C24</f>
        <v>-48297442.84</v>
      </c>
      <c r="K124" s="26">
        <f>-C79*12*C24</f>
        <v>-48297442.84</v>
      </c>
      <c r="L124" s="26">
        <f>-C79*12*C24</f>
        <v>-48297442.84</v>
      </c>
      <c r="M124" s="2"/>
      <c r="N124" s="2"/>
    </row>
    <row r="125">
      <c r="A125" s="7"/>
      <c r="B125" s="163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7"/>
      <c r="N125" s="7"/>
    </row>
    <row r="126" ht="18.75" customHeight="1">
      <c r="A126" s="160"/>
      <c r="B126" s="161" t="s">
        <v>393</v>
      </c>
      <c r="C126" s="162">
        <f t="shared" ref="C126:L126" si="18">C123+C124</f>
        <v>306487.5392</v>
      </c>
      <c r="D126" s="162">
        <f t="shared" si="18"/>
        <v>459731.3088</v>
      </c>
      <c r="E126" s="162">
        <f t="shared" si="18"/>
        <v>612975.0784</v>
      </c>
      <c r="F126" s="162">
        <f t="shared" si="18"/>
        <v>612975.0784</v>
      </c>
      <c r="G126" s="162">
        <f t="shared" si="18"/>
        <v>612975.0784</v>
      </c>
      <c r="H126" s="162">
        <f t="shared" si="18"/>
        <v>612975.0784</v>
      </c>
      <c r="I126" s="162">
        <f t="shared" si="18"/>
        <v>612975.0784</v>
      </c>
      <c r="J126" s="162">
        <f t="shared" si="18"/>
        <v>612975.0784</v>
      </c>
      <c r="K126" s="162">
        <f t="shared" si="18"/>
        <v>612975.0784</v>
      </c>
      <c r="L126" s="162">
        <f t="shared" si="18"/>
        <v>612975.0784</v>
      </c>
      <c r="M126" s="160"/>
      <c r="N126" s="160"/>
    </row>
    <row r="127">
      <c r="A127" s="7"/>
      <c r="B127" s="96" t="s">
        <v>394</v>
      </c>
      <c r="C127" s="24">
        <f t="shared" ref="C127:L127" si="19">IF(C123=0,0,C126/C123)</f>
        <v>0.01253260766</v>
      </c>
      <c r="D127" s="24">
        <f t="shared" si="19"/>
        <v>0.01253260766</v>
      </c>
      <c r="E127" s="24">
        <f t="shared" si="19"/>
        <v>0.01253260766</v>
      </c>
      <c r="F127" s="24">
        <f t="shared" si="19"/>
        <v>0.01253260766</v>
      </c>
      <c r="G127" s="24">
        <f t="shared" si="19"/>
        <v>0.01253260766</v>
      </c>
      <c r="H127" s="24">
        <f t="shared" si="19"/>
        <v>0.01253260766</v>
      </c>
      <c r="I127" s="24">
        <f t="shared" si="19"/>
        <v>0.01253260766</v>
      </c>
      <c r="J127" s="24">
        <f t="shared" si="19"/>
        <v>0.01253260766</v>
      </c>
      <c r="K127" s="24">
        <f t="shared" si="19"/>
        <v>0.01253260766</v>
      </c>
      <c r="L127" s="24">
        <f t="shared" si="19"/>
        <v>0.01253260766</v>
      </c>
      <c r="M127" s="7"/>
      <c r="N127" s="7"/>
    </row>
    <row r="128">
      <c r="A128" s="2"/>
      <c r="B128" s="92" t="s">
        <v>395</v>
      </c>
      <c r="C128" s="26">
        <f>-(C59/C18+C60/20)</f>
        <v>-168400</v>
      </c>
      <c r="D128" s="26">
        <f>-(C59/C18+C60/20)</f>
        <v>-168400</v>
      </c>
      <c r="E128" s="26">
        <f>-(C59/C18+C60/20)</f>
        <v>-168400</v>
      </c>
      <c r="F128" s="26">
        <f>-(C59/C18+C60/20)</f>
        <v>-168400</v>
      </c>
      <c r="G128" s="26">
        <f>-(C59/C18+C60/20)</f>
        <v>-168400</v>
      </c>
      <c r="H128" s="26">
        <f>-(C59/C18+C60/20)</f>
        <v>-168400</v>
      </c>
      <c r="I128" s="26">
        <f>-(C59/C18+C60/20)</f>
        <v>-168400</v>
      </c>
      <c r="J128" s="26">
        <f>-(C59/C18+C60/20)</f>
        <v>-168400</v>
      </c>
      <c r="K128" s="26">
        <f>-(C59/C18+C60/20)</f>
        <v>-168400</v>
      </c>
      <c r="L128" s="26">
        <f>-(C59/C18+C60/20)</f>
        <v>-168400</v>
      </c>
      <c r="M128" s="2"/>
      <c r="N128" s="2"/>
    </row>
    <row r="129">
      <c r="A129" s="7"/>
      <c r="B129" s="163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7"/>
      <c r="N129" s="7"/>
    </row>
    <row r="130">
      <c r="A130" s="2"/>
      <c r="B130" s="152" t="s">
        <v>396</v>
      </c>
      <c r="C130" s="22">
        <f t="shared" ref="C130:L130" si="20">C126+C128</f>
        <v>138087.5392</v>
      </c>
      <c r="D130" s="22">
        <f t="shared" si="20"/>
        <v>291331.3088</v>
      </c>
      <c r="E130" s="22">
        <f t="shared" si="20"/>
        <v>444575.0784</v>
      </c>
      <c r="F130" s="22">
        <f t="shared" si="20"/>
        <v>444575.0784</v>
      </c>
      <c r="G130" s="22">
        <f t="shared" si="20"/>
        <v>444575.0784</v>
      </c>
      <c r="H130" s="22">
        <f t="shared" si="20"/>
        <v>444575.0784</v>
      </c>
      <c r="I130" s="22">
        <f t="shared" si="20"/>
        <v>444575.0784</v>
      </c>
      <c r="J130" s="22">
        <f t="shared" si="20"/>
        <v>444575.0784</v>
      </c>
      <c r="K130" s="22">
        <f t="shared" si="20"/>
        <v>444575.0784</v>
      </c>
      <c r="L130" s="22">
        <f t="shared" si="20"/>
        <v>444575.0784</v>
      </c>
      <c r="M130" s="23"/>
      <c r="N130" s="23"/>
    </row>
    <row r="131">
      <c r="A131" s="7"/>
      <c r="B131" s="96" t="s">
        <v>397</v>
      </c>
      <c r="C131" s="20">
        <f t="shared" ref="C131:L131" si="21">-D189</f>
        <v>-275135.4384</v>
      </c>
      <c r="D131" s="20">
        <f t="shared" si="21"/>
        <v>-229279.532</v>
      </c>
      <c r="E131" s="20">
        <f t="shared" si="21"/>
        <v>-183423.6256</v>
      </c>
      <c r="F131" s="20">
        <f t="shared" si="21"/>
        <v>-137567.7192</v>
      </c>
      <c r="G131" s="20">
        <f t="shared" si="21"/>
        <v>-91711.81279</v>
      </c>
      <c r="H131" s="20">
        <f t="shared" si="21"/>
        <v>-45855.90639</v>
      </c>
      <c r="I131" s="20">
        <f t="shared" si="21"/>
        <v>0</v>
      </c>
      <c r="J131" s="20">
        <f t="shared" si="21"/>
        <v>0</v>
      </c>
      <c r="K131" s="20">
        <f t="shared" si="21"/>
        <v>0</v>
      </c>
      <c r="L131" s="20">
        <f t="shared" si="21"/>
        <v>0</v>
      </c>
      <c r="M131" s="7"/>
      <c r="N131" s="7"/>
    </row>
    <row r="132">
      <c r="A132" s="2"/>
      <c r="B132" s="92" t="s">
        <v>398</v>
      </c>
      <c r="C132" s="26">
        <f t="shared" ref="C132:L132" si="22">C130+C131</f>
        <v>-137047.8992</v>
      </c>
      <c r="D132" s="26">
        <f t="shared" si="22"/>
        <v>62051.77683</v>
      </c>
      <c r="E132" s="26">
        <f t="shared" si="22"/>
        <v>261151.4528</v>
      </c>
      <c r="F132" s="26">
        <f t="shared" si="22"/>
        <v>307007.3592</v>
      </c>
      <c r="G132" s="26">
        <f t="shared" si="22"/>
        <v>352863.2656</v>
      </c>
      <c r="H132" s="26">
        <f t="shared" si="22"/>
        <v>398719.172</v>
      </c>
      <c r="I132" s="26">
        <f t="shared" si="22"/>
        <v>444575.0784</v>
      </c>
      <c r="J132" s="26">
        <f t="shared" si="22"/>
        <v>444575.0784</v>
      </c>
      <c r="K132" s="26">
        <f t="shared" si="22"/>
        <v>444575.0784</v>
      </c>
      <c r="L132" s="26">
        <f t="shared" si="22"/>
        <v>444575.0784</v>
      </c>
      <c r="M132" s="2"/>
      <c r="N132" s="2"/>
    </row>
    <row r="133">
      <c r="A133" s="7"/>
      <c r="B133" s="96" t="s">
        <v>399</v>
      </c>
      <c r="C133" s="20">
        <f>-MAX(0,C132)*C15</f>
        <v>0</v>
      </c>
      <c r="D133" s="20">
        <f>-MAX(0,D132)*C15</f>
        <v>-18615.53305</v>
      </c>
      <c r="E133" s="20">
        <f>-MAX(0,E132)*C15</f>
        <v>-78345.43585</v>
      </c>
      <c r="F133" s="20">
        <f>-MAX(0,F132)*C15</f>
        <v>-92102.20777</v>
      </c>
      <c r="G133" s="20">
        <f>-MAX(0,G132)*C15</f>
        <v>-105858.9797</v>
      </c>
      <c r="H133" s="20">
        <f>-MAX(0,H132)*C15</f>
        <v>-119615.7516</v>
      </c>
      <c r="I133" s="20">
        <f>-MAX(0,I132)*C15</f>
        <v>-133372.5235</v>
      </c>
      <c r="J133" s="20">
        <f>-MAX(0,J132)*C15</f>
        <v>-133372.5235</v>
      </c>
      <c r="K133" s="20">
        <f>-MAX(0,K132)*C15</f>
        <v>-133372.5235</v>
      </c>
      <c r="L133" s="20">
        <f>-MAX(0,L132)*C15</f>
        <v>-133372.5235</v>
      </c>
      <c r="M133" s="7"/>
      <c r="N133" s="7"/>
    </row>
    <row r="134">
      <c r="A134" s="2"/>
      <c r="B134" s="92" t="s">
        <v>400</v>
      </c>
      <c r="C134" s="26">
        <f>-MAX(0,C132)*C16</f>
        <v>0</v>
      </c>
      <c r="D134" s="26">
        <f>-MAX(0,D132)*C16</f>
        <v>-6205.177683</v>
      </c>
      <c r="E134" s="26">
        <f>-MAX(0,E132)*C16</f>
        <v>-26115.14528</v>
      </c>
      <c r="F134" s="26">
        <f>-MAX(0,F132)*C16</f>
        <v>-30700.73592</v>
      </c>
      <c r="G134" s="26">
        <f>-MAX(0,G132)*C16</f>
        <v>-35286.32656</v>
      </c>
      <c r="H134" s="26">
        <f>-MAX(0,H132)*C16</f>
        <v>-39871.9172</v>
      </c>
      <c r="I134" s="26">
        <f>-MAX(0,I132)*C16</f>
        <v>-44457.50784</v>
      </c>
      <c r="J134" s="26">
        <f>-MAX(0,J132)*C16</f>
        <v>-44457.50784</v>
      </c>
      <c r="K134" s="26">
        <f>-MAX(0,K132)*C16</f>
        <v>-44457.50784</v>
      </c>
      <c r="L134" s="26">
        <f>-MAX(0,L132)*C16</f>
        <v>-44457.50784</v>
      </c>
      <c r="M134" s="2"/>
      <c r="N134" s="2"/>
    </row>
    <row r="135">
      <c r="A135" s="7"/>
      <c r="B135" s="163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7"/>
      <c r="N135" s="7"/>
    </row>
    <row r="136" ht="18.75" customHeight="1">
      <c r="A136" s="160"/>
      <c r="B136" s="161" t="s">
        <v>401</v>
      </c>
      <c r="C136" s="162">
        <f t="shared" ref="C136:L136" si="23">C132+C133+C134</f>
        <v>-137047.8992</v>
      </c>
      <c r="D136" s="162">
        <f t="shared" si="23"/>
        <v>37231.0661</v>
      </c>
      <c r="E136" s="162">
        <f t="shared" si="23"/>
        <v>156690.8717</v>
      </c>
      <c r="F136" s="162">
        <f t="shared" si="23"/>
        <v>184204.4155</v>
      </c>
      <c r="G136" s="162">
        <f t="shared" si="23"/>
        <v>211717.9594</v>
      </c>
      <c r="H136" s="162">
        <f t="shared" si="23"/>
        <v>239231.5032</v>
      </c>
      <c r="I136" s="162">
        <f t="shared" si="23"/>
        <v>266745.047</v>
      </c>
      <c r="J136" s="162">
        <f t="shared" si="23"/>
        <v>266745.047</v>
      </c>
      <c r="K136" s="162">
        <f t="shared" si="23"/>
        <v>266745.047</v>
      </c>
      <c r="L136" s="162">
        <f t="shared" si="23"/>
        <v>266745.047</v>
      </c>
      <c r="M136" s="160"/>
      <c r="N136" s="160"/>
    </row>
    <row r="137">
      <c r="A137" s="7"/>
      <c r="B137" s="96" t="s">
        <v>402</v>
      </c>
      <c r="C137" s="20">
        <f>-MAX(0,C136)*C17</f>
        <v>0</v>
      </c>
      <c r="D137" s="20">
        <f>-MAX(0,D136)*C17</f>
        <v>-1861.553305</v>
      </c>
      <c r="E137" s="20">
        <f>-MAX(0,E136)*C17</f>
        <v>-7834.543585</v>
      </c>
      <c r="F137" s="20">
        <f>-MAX(0,F136)*C17</f>
        <v>-9210.220777</v>
      </c>
      <c r="G137" s="20">
        <f>-MAX(0,G136)*C17</f>
        <v>-10585.89797</v>
      </c>
      <c r="H137" s="20">
        <f>-MAX(0,H136)*C17</f>
        <v>-11961.57516</v>
      </c>
      <c r="I137" s="20">
        <f>-MAX(0,I136)*C17</f>
        <v>-13337.25235</v>
      </c>
      <c r="J137" s="20">
        <f>-MAX(0,J136)*C17</f>
        <v>-13337.25235</v>
      </c>
      <c r="K137" s="20">
        <f>-MAX(0,K136)*C17</f>
        <v>-13337.25235</v>
      </c>
      <c r="L137" s="20">
        <f>-MAX(0,L136)*C17</f>
        <v>-13337.25235</v>
      </c>
      <c r="M137" s="7"/>
      <c r="N137" s="7"/>
    </row>
    <row r="138" ht="18.75" customHeight="1">
      <c r="A138" s="160"/>
      <c r="B138" s="161" t="s">
        <v>403</v>
      </c>
      <c r="C138" s="162">
        <f t="shared" ref="C138:L138" si="24">C136+C137</f>
        <v>-137047.8992</v>
      </c>
      <c r="D138" s="162">
        <f t="shared" si="24"/>
        <v>35369.51279</v>
      </c>
      <c r="E138" s="162">
        <f t="shared" si="24"/>
        <v>148856.3281</v>
      </c>
      <c r="F138" s="162">
        <f t="shared" si="24"/>
        <v>174994.1948</v>
      </c>
      <c r="G138" s="162">
        <f t="shared" si="24"/>
        <v>201132.0614</v>
      </c>
      <c r="H138" s="162">
        <f t="shared" si="24"/>
        <v>227269.928</v>
      </c>
      <c r="I138" s="162">
        <f t="shared" si="24"/>
        <v>253407.7947</v>
      </c>
      <c r="J138" s="162">
        <f t="shared" si="24"/>
        <v>253407.7947</v>
      </c>
      <c r="K138" s="162">
        <f t="shared" si="24"/>
        <v>253407.7947</v>
      </c>
      <c r="L138" s="162">
        <f t="shared" si="24"/>
        <v>253407.7947</v>
      </c>
      <c r="M138" s="160"/>
      <c r="N138" s="160"/>
    </row>
    <row r="139">
      <c r="A139" s="7"/>
      <c r="B139" s="13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</row>
    <row r="140">
      <c r="A140" s="2"/>
      <c r="B140" s="165" t="s">
        <v>405</v>
      </c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5"/>
    </row>
    <row r="141">
      <c r="A141" s="7"/>
      <c r="B141" s="178" t="s">
        <v>340</v>
      </c>
      <c r="C141" s="179" t="s">
        <v>380</v>
      </c>
      <c r="D141" s="179" t="s">
        <v>381</v>
      </c>
      <c r="E141" s="179" t="s">
        <v>382</v>
      </c>
      <c r="F141" s="179" t="s">
        <v>383</v>
      </c>
      <c r="G141" s="179" t="s">
        <v>384</v>
      </c>
      <c r="H141" s="179" t="s">
        <v>385</v>
      </c>
      <c r="I141" s="179" t="s">
        <v>386</v>
      </c>
      <c r="J141" s="179" t="s">
        <v>387</v>
      </c>
      <c r="K141" s="179" t="s">
        <v>388</v>
      </c>
      <c r="L141" s="179" t="s">
        <v>389</v>
      </c>
      <c r="M141" s="185"/>
      <c r="N141" s="185"/>
    </row>
    <row r="142">
      <c r="A142" s="2"/>
      <c r="B142" s="92" t="s">
        <v>390</v>
      </c>
      <c r="C142" s="26">
        <f>F91*12*C22</f>
        <v>65144217.6</v>
      </c>
      <c r="D142" s="26">
        <f>F91*12*C23</f>
        <v>97716326.4</v>
      </c>
      <c r="E142" s="26">
        <f>F91*12*C24</f>
        <v>130288435.2</v>
      </c>
      <c r="F142" s="26">
        <f>F91*12*C24</f>
        <v>130288435.2</v>
      </c>
      <c r="G142" s="26">
        <f>F91*12*C24</f>
        <v>130288435.2</v>
      </c>
      <c r="H142" s="26">
        <f>F91*12*C24</f>
        <v>130288435.2</v>
      </c>
      <c r="I142" s="26">
        <f>F91*12*C24</f>
        <v>130288435.2</v>
      </c>
      <c r="J142" s="26">
        <f>F91*12*C24</f>
        <v>130288435.2</v>
      </c>
      <c r="K142" s="26">
        <f>F91*12*C24</f>
        <v>130288435.2</v>
      </c>
      <c r="L142" s="26">
        <f>F91*12*C24</f>
        <v>130288435.2</v>
      </c>
      <c r="M142" s="2"/>
      <c r="N142" s="2"/>
    </row>
    <row r="143">
      <c r="A143" s="7"/>
      <c r="B143" s="96" t="s">
        <v>375</v>
      </c>
      <c r="C143" s="20">
        <f>-C142*C11</f>
        <v>-6514421.76</v>
      </c>
      <c r="D143" s="20">
        <f>-D142*C11</f>
        <v>-9771632.64</v>
      </c>
      <c r="E143" s="20">
        <f>-E142*C11</f>
        <v>-13028843.52</v>
      </c>
      <c r="F143" s="20">
        <f>-F142*C11</f>
        <v>-13028843.52</v>
      </c>
      <c r="G143" s="20">
        <f>-G142*C11</f>
        <v>-13028843.52</v>
      </c>
      <c r="H143" s="20">
        <f>-H142*C11</f>
        <v>-13028843.52</v>
      </c>
      <c r="I143" s="20">
        <f>-I142*C11</f>
        <v>-13028843.52</v>
      </c>
      <c r="J143" s="20">
        <f>-J142*C11</f>
        <v>-13028843.52</v>
      </c>
      <c r="K143" s="20">
        <f>-K142*C11</f>
        <v>-13028843.52</v>
      </c>
      <c r="L143" s="20">
        <f>-L142*C11</f>
        <v>-13028843.52</v>
      </c>
      <c r="M143" s="7"/>
      <c r="N143" s="7"/>
    </row>
    <row r="144">
      <c r="A144" s="2"/>
      <c r="B144" s="15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"/>
      <c r="N144" s="2"/>
    </row>
    <row r="145">
      <c r="A145" s="7"/>
      <c r="B145" s="163" t="s">
        <v>391</v>
      </c>
      <c r="C145" s="34">
        <f t="shared" ref="C145:L145" si="25">C142+C143</f>
        <v>58629795.84</v>
      </c>
      <c r="D145" s="34">
        <f t="shared" si="25"/>
        <v>87944693.76</v>
      </c>
      <c r="E145" s="34">
        <f t="shared" si="25"/>
        <v>117259591.7</v>
      </c>
      <c r="F145" s="34">
        <f t="shared" si="25"/>
        <v>117259591.7</v>
      </c>
      <c r="G145" s="34">
        <f t="shared" si="25"/>
        <v>117259591.7</v>
      </c>
      <c r="H145" s="34">
        <f t="shared" si="25"/>
        <v>117259591.7</v>
      </c>
      <c r="I145" s="34">
        <f t="shared" si="25"/>
        <v>117259591.7</v>
      </c>
      <c r="J145" s="34">
        <f t="shared" si="25"/>
        <v>117259591.7</v>
      </c>
      <c r="K145" s="34">
        <f t="shared" si="25"/>
        <v>117259591.7</v>
      </c>
      <c r="L145" s="34">
        <f t="shared" si="25"/>
        <v>117259591.7</v>
      </c>
      <c r="M145" s="35"/>
      <c r="N145" s="35"/>
    </row>
    <row r="146">
      <c r="A146" s="2"/>
      <c r="B146" s="92" t="s">
        <v>392</v>
      </c>
      <c r="C146" s="26">
        <f>-C79*12*C22</f>
        <v>-24148721.42</v>
      </c>
      <c r="D146" s="26">
        <f>-C79*12*C23</f>
        <v>-36223082.13</v>
      </c>
      <c r="E146" s="26">
        <f>-C79*12*C24</f>
        <v>-48297442.84</v>
      </c>
      <c r="F146" s="26">
        <f>-C79*12*C24</f>
        <v>-48297442.84</v>
      </c>
      <c r="G146" s="26">
        <f>-C79*12*C24</f>
        <v>-48297442.84</v>
      </c>
      <c r="H146" s="26">
        <f>-C79*12*C24</f>
        <v>-48297442.84</v>
      </c>
      <c r="I146" s="26">
        <f>-C79*12*C24</f>
        <v>-48297442.84</v>
      </c>
      <c r="J146" s="26">
        <f>-C79*12*C24</f>
        <v>-48297442.84</v>
      </c>
      <c r="K146" s="26">
        <f>-C79*12*C24</f>
        <v>-48297442.84</v>
      </c>
      <c r="L146" s="26">
        <f>-C79*12*C24</f>
        <v>-48297442.84</v>
      </c>
      <c r="M146" s="2"/>
      <c r="N146" s="2"/>
    </row>
    <row r="147" ht="18.75" customHeight="1">
      <c r="A147" s="160"/>
      <c r="B147" s="161" t="s">
        <v>393</v>
      </c>
      <c r="C147" s="162">
        <f t="shared" ref="C147:L147" si="26">C145+C146</f>
        <v>34481074.42</v>
      </c>
      <c r="D147" s="162">
        <f t="shared" si="26"/>
        <v>51721611.63</v>
      </c>
      <c r="E147" s="162">
        <f t="shared" si="26"/>
        <v>68962148.84</v>
      </c>
      <c r="F147" s="162">
        <f t="shared" si="26"/>
        <v>68962148.84</v>
      </c>
      <c r="G147" s="162">
        <f t="shared" si="26"/>
        <v>68962148.84</v>
      </c>
      <c r="H147" s="162">
        <f t="shared" si="26"/>
        <v>68962148.84</v>
      </c>
      <c r="I147" s="162">
        <f t="shared" si="26"/>
        <v>68962148.84</v>
      </c>
      <c r="J147" s="162">
        <f t="shared" si="26"/>
        <v>68962148.84</v>
      </c>
      <c r="K147" s="162">
        <f t="shared" si="26"/>
        <v>68962148.84</v>
      </c>
      <c r="L147" s="162">
        <f t="shared" si="26"/>
        <v>68962148.84</v>
      </c>
      <c r="M147" s="160"/>
      <c r="N147" s="160"/>
    </row>
    <row r="148">
      <c r="A148" s="2"/>
      <c r="B148" s="92" t="s">
        <v>394</v>
      </c>
      <c r="C148" s="36">
        <f t="shared" ref="C148:L148" si="27">IF(C145=0,0,C147/C145)</f>
        <v>0.5881152053</v>
      </c>
      <c r="D148" s="36">
        <f t="shared" si="27"/>
        <v>0.5881152053</v>
      </c>
      <c r="E148" s="36">
        <f t="shared" si="27"/>
        <v>0.5881152053</v>
      </c>
      <c r="F148" s="36">
        <f t="shared" si="27"/>
        <v>0.5881152053</v>
      </c>
      <c r="G148" s="36">
        <f t="shared" si="27"/>
        <v>0.5881152053</v>
      </c>
      <c r="H148" s="36">
        <f t="shared" si="27"/>
        <v>0.5881152053</v>
      </c>
      <c r="I148" s="36">
        <f t="shared" si="27"/>
        <v>0.5881152053</v>
      </c>
      <c r="J148" s="36">
        <f t="shared" si="27"/>
        <v>0.5881152053</v>
      </c>
      <c r="K148" s="36">
        <f t="shared" si="27"/>
        <v>0.5881152053</v>
      </c>
      <c r="L148" s="36">
        <f t="shared" si="27"/>
        <v>0.5881152053</v>
      </c>
      <c r="M148" s="2"/>
      <c r="N148" s="2"/>
    </row>
    <row r="149">
      <c r="A149" s="7"/>
      <c r="B149" s="96" t="s">
        <v>395</v>
      </c>
      <c r="C149" s="20">
        <f>-(C59/C18+C60/20)</f>
        <v>-168400</v>
      </c>
      <c r="D149" s="20">
        <f>-(C59/C18+C60/20)</f>
        <v>-168400</v>
      </c>
      <c r="E149" s="20">
        <f>-(C59/C18+C60/20)</f>
        <v>-168400</v>
      </c>
      <c r="F149" s="20">
        <f>-(C59/C18+C60/20)</f>
        <v>-168400</v>
      </c>
      <c r="G149" s="20">
        <f>-(C59/C18+C60/20)</f>
        <v>-168400</v>
      </c>
      <c r="H149" s="20">
        <f>-(C59/C18+C60/20)</f>
        <v>-168400</v>
      </c>
      <c r="I149" s="20">
        <f>-(C59/C18+C60/20)</f>
        <v>-168400</v>
      </c>
      <c r="J149" s="20">
        <f>-(C59/C18+C60/20)</f>
        <v>-168400</v>
      </c>
      <c r="K149" s="20">
        <f>-(C59/C18+C60/20)</f>
        <v>-168400</v>
      </c>
      <c r="L149" s="20">
        <f>-(C59/C18+C60/20)</f>
        <v>-168400</v>
      </c>
      <c r="M149" s="7"/>
      <c r="N149" s="7"/>
    </row>
    <row r="150">
      <c r="A150" s="2"/>
      <c r="B150" s="152" t="s">
        <v>396</v>
      </c>
      <c r="C150" s="22">
        <f t="shared" ref="C150:L150" si="28">C147+C149</f>
        <v>34312674.42</v>
      </c>
      <c r="D150" s="22">
        <f t="shared" si="28"/>
        <v>51553211.63</v>
      </c>
      <c r="E150" s="22">
        <f t="shared" si="28"/>
        <v>68793748.84</v>
      </c>
      <c r="F150" s="22">
        <f t="shared" si="28"/>
        <v>68793748.84</v>
      </c>
      <c r="G150" s="22">
        <f t="shared" si="28"/>
        <v>68793748.84</v>
      </c>
      <c r="H150" s="22">
        <f t="shared" si="28"/>
        <v>68793748.84</v>
      </c>
      <c r="I150" s="22">
        <f t="shared" si="28"/>
        <v>68793748.84</v>
      </c>
      <c r="J150" s="22">
        <f t="shared" si="28"/>
        <v>68793748.84</v>
      </c>
      <c r="K150" s="22">
        <f t="shared" si="28"/>
        <v>68793748.84</v>
      </c>
      <c r="L150" s="22">
        <f t="shared" si="28"/>
        <v>68793748.84</v>
      </c>
      <c r="M150" s="23"/>
      <c r="N150" s="23"/>
    </row>
    <row r="151">
      <c r="A151" s="7"/>
      <c r="B151" s="96" t="s">
        <v>397</v>
      </c>
      <c r="C151" s="20">
        <f t="shared" ref="C151:L151" si="29">-D203</f>
        <v>-275135.4384</v>
      </c>
      <c r="D151" s="20">
        <f t="shared" si="29"/>
        <v>-229279.532</v>
      </c>
      <c r="E151" s="20">
        <f t="shared" si="29"/>
        <v>-183423.6256</v>
      </c>
      <c r="F151" s="20">
        <f t="shared" si="29"/>
        <v>-137567.7192</v>
      </c>
      <c r="G151" s="20">
        <f t="shared" si="29"/>
        <v>-91711.81279</v>
      </c>
      <c r="H151" s="20">
        <f t="shared" si="29"/>
        <v>-45855.90639</v>
      </c>
      <c r="I151" s="20">
        <f t="shared" si="29"/>
        <v>0</v>
      </c>
      <c r="J151" s="20">
        <f t="shared" si="29"/>
        <v>0</v>
      </c>
      <c r="K151" s="20">
        <f t="shared" si="29"/>
        <v>0</v>
      </c>
      <c r="L151" s="20">
        <f t="shared" si="29"/>
        <v>0</v>
      </c>
      <c r="M151" s="7"/>
      <c r="N151" s="7"/>
    </row>
    <row r="152">
      <c r="A152" s="2"/>
      <c r="B152" s="92" t="s">
        <v>398</v>
      </c>
      <c r="C152" s="26">
        <f t="shared" ref="C152:L152" si="30">C150+C151</f>
        <v>34037538.98</v>
      </c>
      <c r="D152" s="26">
        <f t="shared" si="30"/>
        <v>51323932.1</v>
      </c>
      <c r="E152" s="26">
        <f t="shared" si="30"/>
        <v>68610325.21</v>
      </c>
      <c r="F152" s="26">
        <f t="shared" si="30"/>
        <v>68656181.12</v>
      </c>
      <c r="G152" s="26">
        <f t="shared" si="30"/>
        <v>68702037.03</v>
      </c>
      <c r="H152" s="26">
        <f t="shared" si="30"/>
        <v>68747892.93</v>
      </c>
      <c r="I152" s="26">
        <f t="shared" si="30"/>
        <v>68793748.84</v>
      </c>
      <c r="J152" s="26">
        <f t="shared" si="30"/>
        <v>68793748.84</v>
      </c>
      <c r="K152" s="26">
        <f t="shared" si="30"/>
        <v>68793748.84</v>
      </c>
      <c r="L152" s="26">
        <f t="shared" si="30"/>
        <v>68793748.84</v>
      </c>
      <c r="M152" s="2"/>
      <c r="N152" s="2"/>
    </row>
    <row r="153">
      <c r="A153" s="7"/>
      <c r="B153" s="96" t="s">
        <v>399</v>
      </c>
      <c r="C153" s="20">
        <f>-MAX(0,C152)*C15</f>
        <v>-10211261.69</v>
      </c>
      <c r="D153" s="20">
        <f>-MAX(0,D152)*C15</f>
        <v>-15397179.63</v>
      </c>
      <c r="E153" s="20">
        <f>-MAX(0,E152)*C15</f>
        <v>-20583097.56</v>
      </c>
      <c r="F153" s="20">
        <f>-MAX(0,F152)*C15</f>
        <v>-20596854.34</v>
      </c>
      <c r="G153" s="20">
        <f>-MAX(0,G152)*C15</f>
        <v>-20610611.11</v>
      </c>
      <c r="H153" s="20">
        <f>-MAX(0,H152)*C15</f>
        <v>-20624367.88</v>
      </c>
      <c r="I153" s="20">
        <f>-MAX(0,I152)*C15</f>
        <v>-20638124.65</v>
      </c>
      <c r="J153" s="20">
        <f>-MAX(0,J152)*C15</f>
        <v>-20638124.65</v>
      </c>
      <c r="K153" s="20">
        <f>-MAX(0,K152)*C15</f>
        <v>-20638124.65</v>
      </c>
      <c r="L153" s="20">
        <f>-MAX(0,L152)*C15</f>
        <v>-20638124.65</v>
      </c>
      <c r="M153" s="7"/>
      <c r="N153" s="7"/>
    </row>
    <row r="154">
      <c r="A154" s="2"/>
      <c r="B154" s="92" t="s">
        <v>400</v>
      </c>
      <c r="C154" s="26">
        <f>-MAX(0,C152)*C16</f>
        <v>-3403753.898</v>
      </c>
      <c r="D154" s="26">
        <f>-MAX(0,D152)*C16</f>
        <v>-5132393.21</v>
      </c>
      <c r="E154" s="26">
        <f>-MAX(0,E152)*C16</f>
        <v>-6861032.521</v>
      </c>
      <c r="F154" s="26">
        <f>-MAX(0,F152)*C16</f>
        <v>-6865618.112</v>
      </c>
      <c r="G154" s="26">
        <f>-MAX(0,G152)*C16</f>
        <v>-6870203.703</v>
      </c>
      <c r="H154" s="26">
        <f>-MAX(0,H152)*C16</f>
        <v>-6874789.293</v>
      </c>
      <c r="I154" s="26">
        <f>-MAX(0,I152)*C16</f>
        <v>-6879374.884</v>
      </c>
      <c r="J154" s="26">
        <f>-MAX(0,J152)*C16</f>
        <v>-6879374.884</v>
      </c>
      <c r="K154" s="26">
        <f>-MAX(0,K152)*C16</f>
        <v>-6879374.884</v>
      </c>
      <c r="L154" s="26">
        <f>-MAX(0,L152)*C16</f>
        <v>-6879374.884</v>
      </c>
      <c r="M154" s="2"/>
      <c r="N154" s="2"/>
    </row>
    <row r="155" ht="18.75" customHeight="1">
      <c r="A155" s="160"/>
      <c r="B155" s="161" t="s">
        <v>401</v>
      </c>
      <c r="C155" s="162">
        <f t="shared" ref="C155:L155" si="31">C152+C153+C154</f>
        <v>20422523.39</v>
      </c>
      <c r="D155" s="162">
        <f t="shared" si="31"/>
        <v>30794359.26</v>
      </c>
      <c r="E155" s="162">
        <f t="shared" si="31"/>
        <v>41166195.13</v>
      </c>
      <c r="F155" s="162">
        <f t="shared" si="31"/>
        <v>41193708.67</v>
      </c>
      <c r="G155" s="162">
        <f t="shared" si="31"/>
        <v>41221222.22</v>
      </c>
      <c r="H155" s="162">
        <f t="shared" si="31"/>
        <v>41248735.76</v>
      </c>
      <c r="I155" s="162">
        <f t="shared" si="31"/>
        <v>41276249.3</v>
      </c>
      <c r="J155" s="162">
        <f t="shared" si="31"/>
        <v>41276249.3</v>
      </c>
      <c r="K155" s="162">
        <f t="shared" si="31"/>
        <v>41276249.3</v>
      </c>
      <c r="L155" s="162">
        <f t="shared" si="31"/>
        <v>41276249.3</v>
      </c>
      <c r="M155" s="160"/>
      <c r="N155" s="160"/>
    </row>
    <row r="156">
      <c r="A156" s="2"/>
      <c r="B156" s="92" t="s">
        <v>402</v>
      </c>
      <c r="C156" s="26">
        <f>-MAX(0,C155)*C17</f>
        <v>-1021126.169</v>
      </c>
      <c r="D156" s="26">
        <f>-MAX(0,D155)*C17</f>
        <v>-1539717.963</v>
      </c>
      <c r="E156" s="26">
        <f>-MAX(0,E155)*C17</f>
        <v>-2058309.756</v>
      </c>
      <c r="F156" s="26">
        <f>-MAX(0,F155)*C17</f>
        <v>-2059685.434</v>
      </c>
      <c r="G156" s="26">
        <f>-MAX(0,G155)*C17</f>
        <v>-2061061.111</v>
      </c>
      <c r="H156" s="26">
        <f>-MAX(0,H155)*C17</f>
        <v>-2062436.788</v>
      </c>
      <c r="I156" s="26">
        <f>-MAX(0,I155)*C17</f>
        <v>-2063812.465</v>
      </c>
      <c r="J156" s="26">
        <f>-MAX(0,J155)*C17</f>
        <v>-2063812.465</v>
      </c>
      <c r="K156" s="26">
        <f>-MAX(0,K155)*C17</f>
        <v>-2063812.465</v>
      </c>
      <c r="L156" s="26">
        <f>-MAX(0,L155)*C17</f>
        <v>-2063812.465</v>
      </c>
      <c r="M156" s="2"/>
      <c r="N156" s="2"/>
    </row>
    <row r="157" ht="18.75" customHeight="1">
      <c r="A157" s="160"/>
      <c r="B157" s="161" t="s">
        <v>403</v>
      </c>
      <c r="C157" s="162">
        <f t="shared" ref="C157:L157" si="32">C155+C156</f>
        <v>19401397.22</v>
      </c>
      <c r="D157" s="162">
        <f t="shared" si="32"/>
        <v>29254641.3</v>
      </c>
      <c r="E157" s="162">
        <f t="shared" si="32"/>
        <v>39107885.37</v>
      </c>
      <c r="F157" s="162">
        <f t="shared" si="32"/>
        <v>39134023.24</v>
      </c>
      <c r="G157" s="162">
        <f t="shared" si="32"/>
        <v>39160161.1</v>
      </c>
      <c r="H157" s="162">
        <f t="shared" si="32"/>
        <v>39186298.97</v>
      </c>
      <c r="I157" s="162">
        <f t="shared" si="32"/>
        <v>39212436.84</v>
      </c>
      <c r="J157" s="162">
        <f t="shared" si="32"/>
        <v>39212436.84</v>
      </c>
      <c r="K157" s="162">
        <f t="shared" si="32"/>
        <v>39212436.84</v>
      </c>
      <c r="L157" s="162">
        <f t="shared" si="32"/>
        <v>39212436.84</v>
      </c>
      <c r="M157" s="160"/>
      <c r="N157" s="160"/>
    </row>
    <row r="158">
      <c r="A158" s="2"/>
      <c r="B158" s="11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>
      <c r="A159" s="7"/>
      <c r="B159" s="165" t="s">
        <v>495</v>
      </c>
      <c r="C159" s="4"/>
      <c r="D159" s="4"/>
      <c r="E159" s="4"/>
      <c r="F159" s="4"/>
      <c r="G159" s="4"/>
      <c r="H159" s="5"/>
      <c r="I159" s="182"/>
      <c r="J159" s="182"/>
      <c r="K159" s="182"/>
      <c r="L159" s="182"/>
      <c r="M159" s="182"/>
      <c r="N159" s="182"/>
    </row>
    <row r="160">
      <c r="A160" s="2"/>
      <c r="B160" s="178" t="s">
        <v>407</v>
      </c>
      <c r="C160" s="179" t="s">
        <v>408</v>
      </c>
      <c r="D160" s="179" t="s">
        <v>409</v>
      </c>
      <c r="E160" s="179" t="s">
        <v>410</v>
      </c>
      <c r="F160" s="179"/>
      <c r="G160" s="179"/>
      <c r="H160" s="179"/>
      <c r="I160" s="2"/>
      <c r="J160" s="2"/>
      <c r="K160" s="2"/>
      <c r="L160" s="2"/>
      <c r="M160" s="2"/>
      <c r="N160" s="2"/>
    </row>
    <row r="161">
      <c r="A161" s="7"/>
      <c r="B161" s="96" t="s">
        <v>411</v>
      </c>
      <c r="C161" s="20">
        <f t="shared" ref="C161:C162" si="33">C59</f>
        <v>1544000</v>
      </c>
      <c r="D161" s="129">
        <f>C18</f>
        <v>10</v>
      </c>
      <c r="E161" s="20">
        <f t="shared" ref="E161:E162" si="34">C161/D161</f>
        <v>154400</v>
      </c>
      <c r="F161" s="7"/>
      <c r="G161" s="7"/>
      <c r="H161" s="7"/>
      <c r="I161" s="7"/>
      <c r="J161" s="7"/>
      <c r="K161" s="7"/>
      <c r="L161" s="7"/>
      <c r="M161" s="7"/>
      <c r="N161" s="7"/>
    </row>
    <row r="162">
      <c r="A162" s="2"/>
      <c r="B162" s="92" t="s">
        <v>343</v>
      </c>
      <c r="C162" s="26">
        <f t="shared" si="33"/>
        <v>280000</v>
      </c>
      <c r="D162" s="102">
        <v>20.0</v>
      </c>
      <c r="E162" s="26">
        <f t="shared" si="34"/>
        <v>14000</v>
      </c>
      <c r="F162" s="2"/>
      <c r="G162" s="2"/>
      <c r="H162" s="2"/>
      <c r="I162" s="2"/>
      <c r="J162" s="2"/>
      <c r="K162" s="2"/>
      <c r="L162" s="2"/>
      <c r="M162" s="2"/>
      <c r="N162" s="2"/>
    </row>
    <row r="163" ht="18.75" customHeight="1">
      <c r="A163" s="132"/>
      <c r="B163" s="133" t="s">
        <v>412</v>
      </c>
      <c r="C163" s="132"/>
      <c r="D163" s="132"/>
      <c r="E163" s="135">
        <f>E161+E162</f>
        <v>168400</v>
      </c>
      <c r="F163" s="132"/>
      <c r="G163" s="132"/>
      <c r="H163" s="132"/>
      <c r="I163" s="132"/>
      <c r="J163" s="132"/>
      <c r="K163" s="132"/>
      <c r="L163" s="132"/>
      <c r="M163" s="132"/>
      <c r="N163" s="132"/>
    </row>
    <row r="164">
      <c r="A164" s="2"/>
      <c r="B164" s="11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>
      <c r="A165" s="7"/>
      <c r="B165" s="165" t="s">
        <v>496</v>
      </c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5"/>
    </row>
    <row r="166">
      <c r="A166" s="2"/>
      <c r="B166" s="186" t="s">
        <v>414</v>
      </c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5"/>
    </row>
    <row r="167">
      <c r="A167" s="7"/>
      <c r="B167" s="96" t="s">
        <v>415</v>
      </c>
      <c r="C167" s="20">
        <f>C63*C29</f>
        <v>2038040.284</v>
      </c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</row>
    <row r="168">
      <c r="A168" s="2"/>
      <c r="B168" s="92" t="s">
        <v>416</v>
      </c>
      <c r="C168" s="36">
        <f t="shared" ref="C168:C169" si="35">C30</f>
        <v>0.135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>
      <c r="A169" s="7"/>
      <c r="B169" s="96" t="s">
        <v>417</v>
      </c>
      <c r="C169" s="129">
        <f t="shared" si="35"/>
        <v>6</v>
      </c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</row>
    <row r="170">
      <c r="A170" s="2"/>
      <c r="B170" s="11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>
      <c r="A171" s="7"/>
      <c r="B171" s="178" t="s">
        <v>340</v>
      </c>
      <c r="C171" s="179" t="s">
        <v>418</v>
      </c>
      <c r="D171" s="179" t="s">
        <v>380</v>
      </c>
      <c r="E171" s="179" t="s">
        <v>381</v>
      </c>
      <c r="F171" s="179" t="s">
        <v>382</v>
      </c>
      <c r="G171" s="179" t="s">
        <v>383</v>
      </c>
      <c r="H171" s="179" t="s">
        <v>384</v>
      </c>
      <c r="I171" s="179" t="s">
        <v>385</v>
      </c>
      <c r="J171" s="179" t="s">
        <v>386</v>
      </c>
      <c r="K171" s="179" t="s">
        <v>387</v>
      </c>
      <c r="L171" s="179" t="s">
        <v>388</v>
      </c>
      <c r="M171" s="187" t="s">
        <v>389</v>
      </c>
      <c r="N171" s="16"/>
    </row>
    <row r="172">
      <c r="A172" s="2"/>
      <c r="B172" s="92" t="s">
        <v>419</v>
      </c>
      <c r="C172" s="26">
        <v>0.0</v>
      </c>
      <c r="D172" s="26">
        <f t="shared" ref="D172:L172" si="36">C177</f>
        <v>2038040.284</v>
      </c>
      <c r="E172" s="26">
        <f t="shared" si="36"/>
        <v>1698366.903</v>
      </c>
      <c r="F172" s="26">
        <f t="shared" si="36"/>
        <v>1358693.523</v>
      </c>
      <c r="G172" s="26">
        <f t="shared" si="36"/>
        <v>1019020.142</v>
      </c>
      <c r="H172" s="26">
        <f t="shared" si="36"/>
        <v>679346.7614</v>
      </c>
      <c r="I172" s="26">
        <f t="shared" si="36"/>
        <v>339673.3807</v>
      </c>
      <c r="J172" s="26">
        <f t="shared" si="36"/>
        <v>0</v>
      </c>
      <c r="K172" s="26">
        <f t="shared" si="36"/>
        <v>0</v>
      </c>
      <c r="L172" s="26">
        <f t="shared" si="36"/>
        <v>0</v>
      </c>
      <c r="M172" s="26">
        <f>L176</f>
        <v>0</v>
      </c>
      <c r="N172" s="2"/>
    </row>
    <row r="173">
      <c r="A173" s="7"/>
      <c r="B173" s="96" t="s">
        <v>420</v>
      </c>
      <c r="C173" s="20">
        <f>C167</f>
        <v>2038040.284</v>
      </c>
      <c r="D173" s="20">
        <v>0.0</v>
      </c>
      <c r="E173" s="20">
        <v>0.0</v>
      </c>
      <c r="F173" s="20">
        <v>0.0</v>
      </c>
      <c r="G173" s="20">
        <v>0.0</v>
      </c>
      <c r="H173" s="20">
        <v>0.0</v>
      </c>
      <c r="I173" s="20">
        <v>0.0</v>
      </c>
      <c r="J173" s="20">
        <v>0.0</v>
      </c>
      <c r="K173" s="20">
        <v>0.0</v>
      </c>
      <c r="L173" s="20">
        <v>0.0</v>
      </c>
      <c r="M173" s="20">
        <v>0.0</v>
      </c>
      <c r="N173" s="7"/>
    </row>
    <row r="174">
      <c r="A174" s="2"/>
      <c r="B174" s="92" t="s">
        <v>421</v>
      </c>
      <c r="C174" s="26">
        <v>0.0</v>
      </c>
      <c r="D174" s="26">
        <f>IF(1&lt;=C169,C167/C169,0)</f>
        <v>339673.3807</v>
      </c>
      <c r="E174" s="26">
        <f>IF(2&lt;=C169,C167/C169,0)</f>
        <v>339673.3807</v>
      </c>
      <c r="F174" s="26">
        <f>IF(3&lt;=C169,C167/C169,0)</f>
        <v>339673.3807</v>
      </c>
      <c r="G174" s="26">
        <f>IF(4&lt;=C169,C167/C169,0)</f>
        <v>339673.3807</v>
      </c>
      <c r="H174" s="26">
        <f>IF(5&lt;=C169,C167/C169,0)</f>
        <v>339673.3807</v>
      </c>
      <c r="I174" s="26">
        <f>IF(6&lt;=C169,C167/C169,0)</f>
        <v>339673.3807</v>
      </c>
      <c r="J174" s="26">
        <f>IF(7&lt;=C169,C167/C169,0)</f>
        <v>0</v>
      </c>
      <c r="K174" s="26">
        <f>IF(8&lt;=C169,C167/C169,0)</f>
        <v>0</v>
      </c>
      <c r="L174" s="26">
        <f>IF(9&lt;=C169,C167/C169,0)</f>
        <v>0</v>
      </c>
      <c r="M174" s="26">
        <f>IF(10&lt;=C169,C167/C169,0)</f>
        <v>0</v>
      </c>
      <c r="N174" s="2"/>
    </row>
    <row r="175">
      <c r="A175" s="7"/>
      <c r="B175" s="96" t="s">
        <v>422</v>
      </c>
      <c r="C175" s="20">
        <v>0.0</v>
      </c>
      <c r="D175" s="20">
        <f>D172*C168</f>
        <v>275135.4384</v>
      </c>
      <c r="E175" s="20">
        <f>E172*C168</f>
        <v>229279.532</v>
      </c>
      <c r="F175" s="20">
        <f>F172*C168</f>
        <v>183423.6256</v>
      </c>
      <c r="G175" s="20">
        <f>G172*C168</f>
        <v>137567.7192</v>
      </c>
      <c r="H175" s="20">
        <f>H172*C168</f>
        <v>91711.81279</v>
      </c>
      <c r="I175" s="20">
        <f>I172*C168</f>
        <v>45855.90639</v>
      </c>
      <c r="J175" s="20">
        <f>J172*C168</f>
        <v>0</v>
      </c>
      <c r="K175" s="20">
        <f>K172*C168</f>
        <v>0</v>
      </c>
      <c r="L175" s="20">
        <f>L172*C168</f>
        <v>0</v>
      </c>
      <c r="M175" s="20">
        <f>M172*C168</f>
        <v>0</v>
      </c>
      <c r="N175" s="7"/>
    </row>
    <row r="176">
      <c r="A176" s="2"/>
      <c r="B176" s="152" t="s">
        <v>423</v>
      </c>
      <c r="C176" s="22">
        <v>0.0</v>
      </c>
      <c r="D176" s="22">
        <f t="shared" ref="D176:M176" si="37">D174+D175</f>
        <v>614808.8191</v>
      </c>
      <c r="E176" s="22">
        <f t="shared" si="37"/>
        <v>568952.9127</v>
      </c>
      <c r="F176" s="22">
        <f t="shared" si="37"/>
        <v>523097.0063</v>
      </c>
      <c r="G176" s="22">
        <f t="shared" si="37"/>
        <v>477241.0999</v>
      </c>
      <c r="H176" s="22">
        <f t="shared" si="37"/>
        <v>431385.1935</v>
      </c>
      <c r="I176" s="22">
        <f t="shared" si="37"/>
        <v>385529.2871</v>
      </c>
      <c r="J176" s="22">
        <f t="shared" si="37"/>
        <v>0</v>
      </c>
      <c r="K176" s="22">
        <f t="shared" si="37"/>
        <v>0</v>
      </c>
      <c r="L176" s="22">
        <f t="shared" si="37"/>
        <v>0</v>
      </c>
      <c r="M176" s="22">
        <f t="shared" si="37"/>
        <v>0</v>
      </c>
      <c r="N176" s="2"/>
    </row>
    <row r="177">
      <c r="A177" s="7"/>
      <c r="B177" s="96" t="s">
        <v>424</v>
      </c>
      <c r="C177" s="20">
        <f t="shared" ref="C177:M177" si="38">C172+C173-C174</f>
        <v>2038040.284</v>
      </c>
      <c r="D177" s="20">
        <f t="shared" si="38"/>
        <v>1698366.903</v>
      </c>
      <c r="E177" s="20">
        <f t="shared" si="38"/>
        <v>1358693.523</v>
      </c>
      <c r="F177" s="20">
        <f t="shared" si="38"/>
        <v>1019020.142</v>
      </c>
      <c r="G177" s="20">
        <f t="shared" si="38"/>
        <v>679346.7614</v>
      </c>
      <c r="H177" s="20">
        <f t="shared" si="38"/>
        <v>339673.3807</v>
      </c>
      <c r="I177" s="20">
        <f t="shared" si="38"/>
        <v>0</v>
      </c>
      <c r="J177" s="20">
        <f t="shared" si="38"/>
        <v>0</v>
      </c>
      <c r="K177" s="20">
        <f t="shared" si="38"/>
        <v>0</v>
      </c>
      <c r="L177" s="20">
        <f t="shared" si="38"/>
        <v>0</v>
      </c>
      <c r="M177" s="20">
        <f t="shared" si="38"/>
        <v>0</v>
      </c>
      <c r="N177" s="7"/>
    </row>
    <row r="178">
      <c r="A178" s="2"/>
      <c r="B178" s="92" t="s">
        <v>425</v>
      </c>
      <c r="C178" s="188" t="s">
        <v>426</v>
      </c>
      <c r="D178" s="42">
        <f t="shared" ref="D178:M178" si="39">IF(D176=0,"-",C104/D176)</f>
        <v>-10.92779767</v>
      </c>
      <c r="E178" s="42">
        <f t="shared" si="39"/>
        <v>-17.71281831</v>
      </c>
      <c r="F178" s="42">
        <f t="shared" si="39"/>
        <v>-25.6874205</v>
      </c>
      <c r="G178" s="42">
        <f t="shared" si="39"/>
        <v>-28.15560681</v>
      </c>
      <c r="H178" s="42">
        <f t="shared" si="39"/>
        <v>-31.14852564</v>
      </c>
      <c r="I178" s="42">
        <f t="shared" si="39"/>
        <v>-34.85341636</v>
      </c>
      <c r="J178" s="42" t="str">
        <f t="shared" si="39"/>
        <v>-</v>
      </c>
      <c r="K178" s="42" t="str">
        <f t="shared" si="39"/>
        <v>-</v>
      </c>
      <c r="L178" s="42" t="str">
        <f t="shared" si="39"/>
        <v>-</v>
      </c>
      <c r="M178" s="42" t="str">
        <f t="shared" si="39"/>
        <v>-</v>
      </c>
      <c r="N178" s="2"/>
    </row>
    <row r="179">
      <c r="A179" s="7"/>
      <c r="B179" s="13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</row>
    <row r="180">
      <c r="A180" s="2"/>
      <c r="B180" s="186" t="s">
        <v>427</v>
      </c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5"/>
    </row>
    <row r="181">
      <c r="A181" s="7"/>
      <c r="B181" s="96" t="s">
        <v>415</v>
      </c>
      <c r="C181" s="20">
        <f>C63*C29</f>
        <v>2038040.284</v>
      </c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</row>
    <row r="182">
      <c r="A182" s="2"/>
      <c r="B182" s="92" t="s">
        <v>416</v>
      </c>
      <c r="C182" s="36">
        <f t="shared" ref="C182:C183" si="40">C30</f>
        <v>0.135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>
      <c r="A183" s="7"/>
      <c r="B183" s="96" t="s">
        <v>417</v>
      </c>
      <c r="C183" s="129">
        <f t="shared" si="40"/>
        <v>6</v>
      </c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</row>
    <row r="184">
      <c r="A184" s="2"/>
      <c r="B184" s="11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>
      <c r="A185" s="7"/>
      <c r="B185" s="178" t="s">
        <v>340</v>
      </c>
      <c r="C185" s="179" t="s">
        <v>418</v>
      </c>
      <c r="D185" s="179" t="s">
        <v>380</v>
      </c>
      <c r="E185" s="179" t="s">
        <v>381</v>
      </c>
      <c r="F185" s="179" t="s">
        <v>382</v>
      </c>
      <c r="G185" s="179" t="s">
        <v>383</v>
      </c>
      <c r="H185" s="179" t="s">
        <v>384</v>
      </c>
      <c r="I185" s="179" t="s">
        <v>385</v>
      </c>
      <c r="J185" s="179" t="s">
        <v>386</v>
      </c>
      <c r="K185" s="179" t="s">
        <v>387</v>
      </c>
      <c r="L185" s="179" t="s">
        <v>388</v>
      </c>
      <c r="M185" s="179" t="s">
        <v>389</v>
      </c>
      <c r="N185" s="16"/>
    </row>
    <row r="186">
      <c r="A186" s="2"/>
      <c r="B186" s="92" t="s">
        <v>419</v>
      </c>
      <c r="C186" s="26">
        <v>0.0</v>
      </c>
      <c r="D186" s="26">
        <f t="shared" ref="D186:L186" si="41">C191</f>
        <v>2038040.284</v>
      </c>
      <c r="E186" s="26">
        <f t="shared" si="41"/>
        <v>1698366.903</v>
      </c>
      <c r="F186" s="26">
        <f t="shared" si="41"/>
        <v>1358693.523</v>
      </c>
      <c r="G186" s="26">
        <f t="shared" si="41"/>
        <v>1019020.142</v>
      </c>
      <c r="H186" s="26">
        <f t="shared" si="41"/>
        <v>679346.7614</v>
      </c>
      <c r="I186" s="26">
        <f t="shared" si="41"/>
        <v>339673.3807</v>
      </c>
      <c r="J186" s="26">
        <f t="shared" si="41"/>
        <v>0</v>
      </c>
      <c r="K186" s="26">
        <f t="shared" si="41"/>
        <v>0</v>
      </c>
      <c r="L186" s="26">
        <f t="shared" si="41"/>
        <v>0</v>
      </c>
      <c r="M186" s="26">
        <f>L190</f>
        <v>0</v>
      </c>
      <c r="N186" s="2"/>
    </row>
    <row r="187">
      <c r="A187" s="7"/>
      <c r="B187" s="96" t="s">
        <v>420</v>
      </c>
      <c r="C187" s="20">
        <f>C181</f>
        <v>2038040.284</v>
      </c>
      <c r="D187" s="20">
        <v>0.0</v>
      </c>
      <c r="E187" s="20">
        <v>0.0</v>
      </c>
      <c r="F187" s="20">
        <v>0.0</v>
      </c>
      <c r="G187" s="20">
        <v>0.0</v>
      </c>
      <c r="H187" s="20">
        <v>0.0</v>
      </c>
      <c r="I187" s="20">
        <v>0.0</v>
      </c>
      <c r="J187" s="20">
        <v>0.0</v>
      </c>
      <c r="K187" s="20">
        <v>0.0</v>
      </c>
      <c r="L187" s="20">
        <v>0.0</v>
      </c>
      <c r="M187" s="20">
        <v>0.0</v>
      </c>
      <c r="N187" s="7"/>
    </row>
    <row r="188">
      <c r="A188" s="2"/>
      <c r="B188" s="92" t="s">
        <v>421</v>
      </c>
      <c r="C188" s="26">
        <v>0.0</v>
      </c>
      <c r="D188" s="26">
        <f>IF(1&lt;=C183,C181/C183,0)</f>
        <v>339673.3807</v>
      </c>
      <c r="E188" s="26">
        <f>IF(2&lt;=C183,C181/C183,0)</f>
        <v>339673.3807</v>
      </c>
      <c r="F188" s="26">
        <f>IF(3&lt;=C183,C181/C183,0)</f>
        <v>339673.3807</v>
      </c>
      <c r="G188" s="26">
        <f>IF(4&lt;=C183,C181/C183,0)</f>
        <v>339673.3807</v>
      </c>
      <c r="H188" s="26">
        <f>IF(5&lt;=C183,C181/C183,0)</f>
        <v>339673.3807</v>
      </c>
      <c r="I188" s="26">
        <f>IF(6&lt;=C183,C181/C183,0)</f>
        <v>339673.3807</v>
      </c>
      <c r="J188" s="26">
        <f>IF(7&lt;=C183,C181/C183,0)</f>
        <v>0</v>
      </c>
      <c r="K188" s="26">
        <f>IF(8&lt;=C183,C181/C183,0)</f>
        <v>0</v>
      </c>
      <c r="L188" s="26">
        <f>IF(9&lt;=C183,C181/C183,0)</f>
        <v>0</v>
      </c>
      <c r="M188" s="26">
        <f>IF(10&lt;=C183,C181/C183,0)</f>
        <v>0</v>
      </c>
      <c r="N188" s="2"/>
    </row>
    <row r="189">
      <c r="A189" s="7"/>
      <c r="B189" s="96" t="s">
        <v>422</v>
      </c>
      <c r="C189" s="20">
        <v>0.0</v>
      </c>
      <c r="D189" s="20">
        <f>D186*C182</f>
        <v>275135.4384</v>
      </c>
      <c r="E189" s="20">
        <f>E186*C182</f>
        <v>229279.532</v>
      </c>
      <c r="F189" s="20">
        <f>F186*C182</f>
        <v>183423.6256</v>
      </c>
      <c r="G189" s="20">
        <f>G186*C182</f>
        <v>137567.7192</v>
      </c>
      <c r="H189" s="20">
        <f>H186*C182</f>
        <v>91711.81279</v>
      </c>
      <c r="I189" s="20">
        <f>I186*C182</f>
        <v>45855.90639</v>
      </c>
      <c r="J189" s="20">
        <f>J186*C182</f>
        <v>0</v>
      </c>
      <c r="K189" s="20">
        <f>K186*C182</f>
        <v>0</v>
      </c>
      <c r="L189" s="20">
        <f>L186*C182</f>
        <v>0</v>
      </c>
      <c r="M189" s="20">
        <f>M186*C182</f>
        <v>0</v>
      </c>
      <c r="N189" s="7"/>
    </row>
    <row r="190">
      <c r="A190" s="2"/>
      <c r="B190" s="152" t="s">
        <v>423</v>
      </c>
      <c r="C190" s="22">
        <v>0.0</v>
      </c>
      <c r="D190" s="22">
        <f t="shared" ref="D190:M190" si="42">D188+D189</f>
        <v>614808.8191</v>
      </c>
      <c r="E190" s="22">
        <f t="shared" si="42"/>
        <v>568952.9127</v>
      </c>
      <c r="F190" s="22">
        <f t="shared" si="42"/>
        <v>523097.0063</v>
      </c>
      <c r="G190" s="22">
        <f t="shared" si="42"/>
        <v>477241.0999</v>
      </c>
      <c r="H190" s="22">
        <f t="shared" si="42"/>
        <v>431385.1935</v>
      </c>
      <c r="I190" s="22">
        <f t="shared" si="42"/>
        <v>385529.2871</v>
      </c>
      <c r="J190" s="22">
        <f t="shared" si="42"/>
        <v>0</v>
      </c>
      <c r="K190" s="22">
        <f t="shared" si="42"/>
        <v>0</v>
      </c>
      <c r="L190" s="22">
        <f t="shared" si="42"/>
        <v>0</v>
      </c>
      <c r="M190" s="22">
        <f t="shared" si="42"/>
        <v>0</v>
      </c>
      <c r="N190" s="2"/>
    </row>
    <row r="191">
      <c r="A191" s="7"/>
      <c r="B191" s="96" t="s">
        <v>424</v>
      </c>
      <c r="C191" s="20">
        <f t="shared" ref="C191:M191" si="43">C186+C187-C188</f>
        <v>2038040.284</v>
      </c>
      <c r="D191" s="20">
        <f t="shared" si="43"/>
        <v>1698366.903</v>
      </c>
      <c r="E191" s="20">
        <f t="shared" si="43"/>
        <v>1358693.523</v>
      </c>
      <c r="F191" s="20">
        <f t="shared" si="43"/>
        <v>1019020.142</v>
      </c>
      <c r="G191" s="20">
        <f t="shared" si="43"/>
        <v>679346.7614</v>
      </c>
      <c r="H191" s="20">
        <f t="shared" si="43"/>
        <v>339673.3807</v>
      </c>
      <c r="I191" s="20">
        <f t="shared" si="43"/>
        <v>0</v>
      </c>
      <c r="J191" s="20">
        <f t="shared" si="43"/>
        <v>0</v>
      </c>
      <c r="K191" s="20">
        <f t="shared" si="43"/>
        <v>0</v>
      </c>
      <c r="L191" s="20">
        <f t="shared" si="43"/>
        <v>0</v>
      </c>
      <c r="M191" s="20">
        <f t="shared" si="43"/>
        <v>0</v>
      </c>
      <c r="N191" s="7"/>
    </row>
    <row r="192">
      <c r="A192" s="2"/>
      <c r="B192" s="92" t="s">
        <v>425</v>
      </c>
      <c r="C192" s="188" t="s">
        <v>426</v>
      </c>
      <c r="D192" s="42">
        <f t="shared" ref="D192:M192" si="44">IF(D190=0,"-",C126/D190)</f>
        <v>0.4985086903</v>
      </c>
      <c r="E192" s="42">
        <f t="shared" si="44"/>
        <v>0.8080305041</v>
      </c>
      <c r="F192" s="42">
        <f t="shared" si="44"/>
        <v>1.171819129</v>
      </c>
      <c r="G192" s="42">
        <f t="shared" si="44"/>
        <v>1.28441385</v>
      </c>
      <c r="H192" s="42">
        <f t="shared" si="44"/>
        <v>1.420946031</v>
      </c>
      <c r="I192" s="42">
        <f t="shared" si="44"/>
        <v>1.589957233</v>
      </c>
      <c r="J192" s="42" t="str">
        <f t="shared" si="44"/>
        <v>-</v>
      </c>
      <c r="K192" s="42" t="str">
        <f t="shared" si="44"/>
        <v>-</v>
      </c>
      <c r="L192" s="42" t="str">
        <f t="shared" si="44"/>
        <v>-</v>
      </c>
      <c r="M192" s="42" t="str">
        <f t="shared" si="44"/>
        <v>-</v>
      </c>
      <c r="N192" s="2"/>
    </row>
    <row r="193">
      <c r="A193" s="7"/>
      <c r="B193" s="13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</row>
    <row r="194">
      <c r="A194" s="2"/>
      <c r="B194" s="186" t="s">
        <v>428</v>
      </c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5"/>
    </row>
    <row r="195">
      <c r="A195" s="7"/>
      <c r="B195" s="96" t="s">
        <v>415</v>
      </c>
      <c r="C195" s="20">
        <f>C63*C29</f>
        <v>2038040.284</v>
      </c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</row>
    <row r="196">
      <c r="A196" s="2"/>
      <c r="B196" s="92" t="s">
        <v>416</v>
      </c>
      <c r="C196" s="36">
        <f t="shared" ref="C196:C197" si="45">C30</f>
        <v>0.135</v>
      </c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>
      <c r="A197" s="7"/>
      <c r="B197" s="96" t="s">
        <v>417</v>
      </c>
      <c r="C197" s="129">
        <f t="shared" si="45"/>
        <v>6</v>
      </c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</row>
    <row r="198">
      <c r="A198" s="2"/>
      <c r="B198" s="11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>
      <c r="A199" s="7"/>
      <c r="B199" s="178" t="s">
        <v>340</v>
      </c>
      <c r="C199" s="179" t="s">
        <v>418</v>
      </c>
      <c r="D199" s="179" t="s">
        <v>380</v>
      </c>
      <c r="E199" s="179" t="s">
        <v>381</v>
      </c>
      <c r="F199" s="179" t="s">
        <v>382</v>
      </c>
      <c r="G199" s="179" t="s">
        <v>383</v>
      </c>
      <c r="H199" s="179" t="s">
        <v>384</v>
      </c>
      <c r="I199" s="179" t="s">
        <v>385</v>
      </c>
      <c r="J199" s="179" t="s">
        <v>386</v>
      </c>
      <c r="K199" s="179" t="s">
        <v>387</v>
      </c>
      <c r="L199" s="179" t="s">
        <v>388</v>
      </c>
      <c r="M199" s="179" t="s">
        <v>389</v>
      </c>
      <c r="N199" s="16"/>
    </row>
    <row r="200">
      <c r="A200" s="2"/>
      <c r="B200" s="92" t="s">
        <v>419</v>
      </c>
      <c r="C200" s="26">
        <v>0.0</v>
      </c>
      <c r="D200" s="26">
        <f t="shared" ref="D200:L200" si="46">C205</f>
        <v>2038040.284</v>
      </c>
      <c r="E200" s="26">
        <f t="shared" si="46"/>
        <v>1698366.903</v>
      </c>
      <c r="F200" s="26">
        <f t="shared" si="46"/>
        <v>1358693.523</v>
      </c>
      <c r="G200" s="26">
        <f t="shared" si="46"/>
        <v>1019020.142</v>
      </c>
      <c r="H200" s="26">
        <f t="shared" si="46"/>
        <v>679346.7614</v>
      </c>
      <c r="I200" s="26">
        <f t="shared" si="46"/>
        <v>339673.3807</v>
      </c>
      <c r="J200" s="26">
        <f t="shared" si="46"/>
        <v>0</v>
      </c>
      <c r="K200" s="26">
        <f t="shared" si="46"/>
        <v>0</v>
      </c>
      <c r="L200" s="26">
        <f t="shared" si="46"/>
        <v>0</v>
      </c>
      <c r="M200" s="26">
        <f>L204</f>
        <v>0</v>
      </c>
      <c r="N200" s="2"/>
    </row>
    <row r="201">
      <c r="A201" s="7"/>
      <c r="B201" s="96" t="s">
        <v>420</v>
      </c>
      <c r="C201" s="20">
        <f>C195</f>
        <v>2038040.284</v>
      </c>
      <c r="D201" s="20">
        <v>0.0</v>
      </c>
      <c r="E201" s="20">
        <v>0.0</v>
      </c>
      <c r="F201" s="20">
        <v>0.0</v>
      </c>
      <c r="G201" s="20">
        <v>0.0</v>
      </c>
      <c r="H201" s="20">
        <v>0.0</v>
      </c>
      <c r="I201" s="20">
        <v>0.0</v>
      </c>
      <c r="J201" s="20">
        <v>0.0</v>
      </c>
      <c r="K201" s="20">
        <v>0.0</v>
      </c>
      <c r="L201" s="20">
        <v>0.0</v>
      </c>
      <c r="M201" s="20">
        <v>0.0</v>
      </c>
      <c r="N201" s="7"/>
    </row>
    <row r="202">
      <c r="A202" s="2"/>
      <c r="B202" s="92" t="s">
        <v>421</v>
      </c>
      <c r="C202" s="26">
        <v>0.0</v>
      </c>
      <c r="D202" s="26">
        <f>IF(1&lt;=C197,C195/C197,0)</f>
        <v>339673.3807</v>
      </c>
      <c r="E202" s="26">
        <f>IF(2&lt;=C197,C195/C197,0)</f>
        <v>339673.3807</v>
      </c>
      <c r="F202" s="26">
        <f>IF(3&lt;=C197,C195/C197,0)</f>
        <v>339673.3807</v>
      </c>
      <c r="G202" s="26">
        <f>IF(4&lt;=C197,C195/C197,0)</f>
        <v>339673.3807</v>
      </c>
      <c r="H202" s="26">
        <f>IF(5&lt;=C197,C195/C197,0)</f>
        <v>339673.3807</v>
      </c>
      <c r="I202" s="26">
        <f>IF(6&lt;=C197,C195/C197,0)</f>
        <v>339673.3807</v>
      </c>
      <c r="J202" s="26">
        <f>IF(7&lt;=C197,C195/C197,0)</f>
        <v>0</v>
      </c>
      <c r="K202" s="26">
        <f>IF(8&lt;=C197,C195/C197,0)</f>
        <v>0</v>
      </c>
      <c r="L202" s="26">
        <f>IF(9&lt;=C197,C195/C197,0)</f>
        <v>0</v>
      </c>
      <c r="M202" s="26">
        <f>IF(10&lt;=C197,C195/C197,0)</f>
        <v>0</v>
      </c>
      <c r="N202" s="2"/>
    </row>
    <row r="203">
      <c r="A203" s="7"/>
      <c r="B203" s="96" t="s">
        <v>422</v>
      </c>
      <c r="C203" s="20">
        <v>0.0</v>
      </c>
      <c r="D203" s="20">
        <f>D200*C196</f>
        <v>275135.4384</v>
      </c>
      <c r="E203" s="20">
        <f>E200*C196</f>
        <v>229279.532</v>
      </c>
      <c r="F203" s="20">
        <f>F200*C196</f>
        <v>183423.6256</v>
      </c>
      <c r="G203" s="20">
        <f>G200*C196</f>
        <v>137567.7192</v>
      </c>
      <c r="H203" s="20">
        <f>H200*C196</f>
        <v>91711.81279</v>
      </c>
      <c r="I203" s="20">
        <f>I200*C196</f>
        <v>45855.90639</v>
      </c>
      <c r="J203" s="20">
        <f>J200*C196</f>
        <v>0</v>
      </c>
      <c r="K203" s="20">
        <f>K200*C196</f>
        <v>0</v>
      </c>
      <c r="L203" s="20">
        <f>L200*C196</f>
        <v>0</v>
      </c>
      <c r="M203" s="20">
        <f>M200*C196</f>
        <v>0</v>
      </c>
      <c r="N203" s="7"/>
    </row>
    <row r="204">
      <c r="A204" s="2"/>
      <c r="B204" s="152" t="s">
        <v>423</v>
      </c>
      <c r="C204" s="22">
        <v>0.0</v>
      </c>
      <c r="D204" s="22">
        <f t="shared" ref="D204:M204" si="47">D202+D203</f>
        <v>614808.8191</v>
      </c>
      <c r="E204" s="22">
        <f t="shared" si="47"/>
        <v>568952.9127</v>
      </c>
      <c r="F204" s="22">
        <f t="shared" si="47"/>
        <v>523097.0063</v>
      </c>
      <c r="G204" s="22">
        <f t="shared" si="47"/>
        <v>477241.0999</v>
      </c>
      <c r="H204" s="22">
        <f t="shared" si="47"/>
        <v>431385.1935</v>
      </c>
      <c r="I204" s="22">
        <f t="shared" si="47"/>
        <v>385529.2871</v>
      </c>
      <c r="J204" s="22">
        <f t="shared" si="47"/>
        <v>0</v>
      </c>
      <c r="K204" s="22">
        <f t="shared" si="47"/>
        <v>0</v>
      </c>
      <c r="L204" s="22">
        <f t="shared" si="47"/>
        <v>0</v>
      </c>
      <c r="M204" s="22">
        <f t="shared" si="47"/>
        <v>0</v>
      </c>
      <c r="N204" s="2"/>
    </row>
    <row r="205">
      <c r="A205" s="7"/>
      <c r="B205" s="96" t="s">
        <v>424</v>
      </c>
      <c r="C205" s="20">
        <f t="shared" ref="C205:M205" si="48">C200+C201-C202</f>
        <v>2038040.284</v>
      </c>
      <c r="D205" s="20">
        <f t="shared" si="48"/>
        <v>1698366.903</v>
      </c>
      <c r="E205" s="20">
        <f t="shared" si="48"/>
        <v>1358693.523</v>
      </c>
      <c r="F205" s="20">
        <f t="shared" si="48"/>
        <v>1019020.142</v>
      </c>
      <c r="G205" s="20">
        <f t="shared" si="48"/>
        <v>679346.7614</v>
      </c>
      <c r="H205" s="20">
        <f t="shared" si="48"/>
        <v>339673.3807</v>
      </c>
      <c r="I205" s="20">
        <f t="shared" si="48"/>
        <v>0</v>
      </c>
      <c r="J205" s="20">
        <f t="shared" si="48"/>
        <v>0</v>
      </c>
      <c r="K205" s="20">
        <f t="shared" si="48"/>
        <v>0</v>
      </c>
      <c r="L205" s="20">
        <f t="shared" si="48"/>
        <v>0</v>
      </c>
      <c r="M205" s="20">
        <f t="shared" si="48"/>
        <v>0</v>
      </c>
      <c r="N205" s="7"/>
    </row>
    <row r="206">
      <c r="A206" s="2"/>
      <c r="B206" s="92" t="s">
        <v>425</v>
      </c>
      <c r="C206" s="188" t="s">
        <v>426</v>
      </c>
      <c r="D206" s="42">
        <f t="shared" ref="D206:M206" si="49">IF(D204=0,"-",C147/D204)</f>
        <v>56.0842222</v>
      </c>
      <c r="E206" s="42">
        <f t="shared" si="49"/>
        <v>90.90666464</v>
      </c>
      <c r="F206" s="42">
        <f t="shared" si="49"/>
        <v>131.8343405</v>
      </c>
      <c r="G206" s="42">
        <f t="shared" si="49"/>
        <v>144.5016971</v>
      </c>
      <c r="H206" s="42">
        <f t="shared" si="49"/>
        <v>159.8621137</v>
      </c>
      <c r="I206" s="42">
        <f t="shared" si="49"/>
        <v>178.8765501</v>
      </c>
      <c r="J206" s="42" t="str">
        <f t="shared" si="49"/>
        <v>-</v>
      </c>
      <c r="K206" s="42" t="str">
        <f t="shared" si="49"/>
        <v>-</v>
      </c>
      <c r="L206" s="42" t="str">
        <f t="shared" si="49"/>
        <v>-</v>
      </c>
      <c r="M206" s="42" t="str">
        <f t="shared" si="49"/>
        <v>-</v>
      </c>
      <c r="N206" s="2"/>
    </row>
    <row r="207">
      <c r="A207" s="7"/>
      <c r="B207" s="13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</row>
    <row r="208">
      <c r="A208" s="2"/>
      <c r="B208" s="180" t="s">
        <v>497</v>
      </c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5"/>
    </row>
    <row r="209">
      <c r="A209" s="7"/>
      <c r="B209" s="189" t="s">
        <v>430</v>
      </c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5"/>
    </row>
    <row r="210">
      <c r="A210" s="2"/>
      <c r="B210" s="121" t="s">
        <v>340</v>
      </c>
      <c r="C210" s="122" t="s">
        <v>418</v>
      </c>
      <c r="D210" s="122" t="s">
        <v>380</v>
      </c>
      <c r="E210" s="122" t="s">
        <v>381</v>
      </c>
      <c r="F210" s="122" t="s">
        <v>382</v>
      </c>
      <c r="G210" s="122" t="s">
        <v>383</v>
      </c>
      <c r="H210" s="122" t="s">
        <v>384</v>
      </c>
      <c r="I210" s="122" t="s">
        <v>385</v>
      </c>
      <c r="J210" s="122" t="s">
        <v>386</v>
      </c>
      <c r="K210" s="122" t="s">
        <v>387</v>
      </c>
      <c r="L210" s="122" t="s">
        <v>388</v>
      </c>
      <c r="M210" s="122" t="s">
        <v>389</v>
      </c>
      <c r="N210" s="184"/>
    </row>
    <row r="211" ht="18.75" customHeight="1">
      <c r="A211" s="160"/>
      <c r="B211" s="170" t="s">
        <v>393</v>
      </c>
      <c r="C211" s="162">
        <v>0.0</v>
      </c>
      <c r="D211" s="162">
        <f t="shared" ref="D211:M211" si="50">C104</f>
        <v>-6718506.381</v>
      </c>
      <c r="E211" s="162">
        <f t="shared" si="50"/>
        <v>-10077759.57</v>
      </c>
      <c r="F211" s="162">
        <f t="shared" si="50"/>
        <v>-13437012.76</v>
      </c>
      <c r="G211" s="162">
        <f t="shared" si="50"/>
        <v>-13437012.76</v>
      </c>
      <c r="H211" s="162">
        <f t="shared" si="50"/>
        <v>-13437012.76</v>
      </c>
      <c r="I211" s="162">
        <f t="shared" si="50"/>
        <v>-13437012.76</v>
      </c>
      <c r="J211" s="162">
        <f t="shared" si="50"/>
        <v>-13437012.76</v>
      </c>
      <c r="K211" s="162">
        <f t="shared" si="50"/>
        <v>-13437012.76</v>
      </c>
      <c r="L211" s="162">
        <f t="shared" si="50"/>
        <v>-13437012.76</v>
      </c>
      <c r="M211" s="162">
        <f t="shared" si="50"/>
        <v>-13437012.76</v>
      </c>
      <c r="N211" s="160"/>
    </row>
    <row r="212">
      <c r="A212" s="2"/>
      <c r="B212" s="92" t="s">
        <v>431</v>
      </c>
      <c r="C212" s="26">
        <f>-C63</f>
        <v>-3396733.807</v>
      </c>
      <c r="D212" s="26">
        <v>0.0</v>
      </c>
      <c r="E212" s="26">
        <v>0.0</v>
      </c>
      <c r="F212" s="26">
        <v>0.0</v>
      </c>
      <c r="G212" s="26">
        <v>0.0</v>
      </c>
      <c r="H212" s="26">
        <v>0.0</v>
      </c>
      <c r="I212" s="26">
        <v>0.0</v>
      </c>
      <c r="J212" s="26">
        <v>0.0</v>
      </c>
      <c r="K212" s="26">
        <v>0.0</v>
      </c>
      <c r="L212" s="26">
        <v>0.0</v>
      </c>
      <c r="M212" s="26">
        <v>0.0</v>
      </c>
      <c r="N212" s="2"/>
    </row>
    <row r="213">
      <c r="A213" s="7"/>
      <c r="B213" s="96" t="s">
        <v>432</v>
      </c>
      <c r="C213" s="20">
        <v>0.0</v>
      </c>
      <c r="D213" s="20">
        <v>0.0</v>
      </c>
      <c r="E213" s="20">
        <v>0.0</v>
      </c>
      <c r="F213" s="20">
        <v>0.0</v>
      </c>
      <c r="G213" s="20">
        <v>0.0</v>
      </c>
      <c r="H213" s="20">
        <v>0.0</v>
      </c>
      <c r="I213" s="20">
        <v>0.0</v>
      </c>
      <c r="J213" s="20">
        <v>0.0</v>
      </c>
      <c r="K213" s="20">
        <v>0.0</v>
      </c>
      <c r="L213" s="20">
        <v>0.0</v>
      </c>
      <c r="M213" s="20">
        <v>0.0</v>
      </c>
      <c r="N213" s="7"/>
    </row>
    <row r="214">
      <c r="A214" s="2"/>
      <c r="B214" s="92" t="s">
        <v>433</v>
      </c>
      <c r="C214" s="26">
        <f>-C62</f>
        <v>-1517733.807</v>
      </c>
      <c r="D214" s="26">
        <v>0.0</v>
      </c>
      <c r="E214" s="26">
        <v>0.0</v>
      </c>
      <c r="F214" s="26">
        <v>0.0</v>
      </c>
      <c r="G214" s="26">
        <v>0.0</v>
      </c>
      <c r="H214" s="26">
        <v>0.0</v>
      </c>
      <c r="I214" s="26">
        <v>0.0</v>
      </c>
      <c r="J214" s="26">
        <v>0.0</v>
      </c>
      <c r="K214" s="26">
        <v>0.0</v>
      </c>
      <c r="L214" s="26">
        <v>0.0</v>
      </c>
      <c r="M214" s="26">
        <v>0.0</v>
      </c>
      <c r="N214" s="2"/>
    </row>
    <row r="215">
      <c r="A215" s="7"/>
      <c r="B215" s="96" t="s">
        <v>434</v>
      </c>
      <c r="C215" s="20">
        <v>0.0</v>
      </c>
      <c r="D215" s="20">
        <f t="shared" ref="D215:M215" si="51">-D176</f>
        <v>-614808.8191</v>
      </c>
      <c r="E215" s="20">
        <f t="shared" si="51"/>
        <v>-568952.9127</v>
      </c>
      <c r="F215" s="20">
        <f t="shared" si="51"/>
        <v>-523097.0063</v>
      </c>
      <c r="G215" s="20">
        <f t="shared" si="51"/>
        <v>-477241.0999</v>
      </c>
      <c r="H215" s="20">
        <f t="shared" si="51"/>
        <v>-431385.1935</v>
      </c>
      <c r="I215" s="20">
        <f t="shared" si="51"/>
        <v>-385529.2871</v>
      </c>
      <c r="J215" s="20">
        <f t="shared" si="51"/>
        <v>0</v>
      </c>
      <c r="K215" s="20">
        <f t="shared" si="51"/>
        <v>0</v>
      </c>
      <c r="L215" s="20">
        <f t="shared" si="51"/>
        <v>0</v>
      </c>
      <c r="M215" s="20">
        <f t="shared" si="51"/>
        <v>0</v>
      </c>
      <c r="N215" s="7"/>
    </row>
    <row r="216">
      <c r="A216" s="2"/>
      <c r="B216" s="152" t="s">
        <v>435</v>
      </c>
      <c r="C216" s="22">
        <f t="shared" ref="C216:M216" si="52">C211+C212+C213+C214+C215</f>
        <v>-4914467.614</v>
      </c>
      <c r="D216" s="22">
        <f t="shared" si="52"/>
        <v>-7333315.2</v>
      </c>
      <c r="E216" s="22">
        <f t="shared" si="52"/>
        <v>-10646712.48</v>
      </c>
      <c r="F216" s="22">
        <f t="shared" si="52"/>
        <v>-13960109.77</v>
      </c>
      <c r="G216" s="22">
        <f t="shared" si="52"/>
        <v>-13914253.86</v>
      </c>
      <c r="H216" s="22">
        <f t="shared" si="52"/>
        <v>-13868397.96</v>
      </c>
      <c r="I216" s="22">
        <f t="shared" si="52"/>
        <v>-13822542.05</v>
      </c>
      <c r="J216" s="22">
        <f t="shared" si="52"/>
        <v>-13437012.76</v>
      </c>
      <c r="K216" s="22">
        <f t="shared" si="52"/>
        <v>-13437012.76</v>
      </c>
      <c r="L216" s="22">
        <f t="shared" si="52"/>
        <v>-13437012.76</v>
      </c>
      <c r="M216" s="22">
        <f t="shared" si="52"/>
        <v>-13437012.76</v>
      </c>
      <c r="N216" s="2"/>
    </row>
    <row r="217">
      <c r="A217" s="7"/>
      <c r="B217" s="96" t="s">
        <v>436</v>
      </c>
      <c r="C217" s="20">
        <f>C216</f>
        <v>-4914467.614</v>
      </c>
      <c r="D217" s="20">
        <f t="shared" ref="D217:M217" si="53">C217+D216</f>
        <v>-12247782.81</v>
      </c>
      <c r="E217" s="20">
        <f t="shared" si="53"/>
        <v>-22894495.3</v>
      </c>
      <c r="F217" s="20">
        <f t="shared" si="53"/>
        <v>-36854605.07</v>
      </c>
      <c r="G217" s="20">
        <f t="shared" si="53"/>
        <v>-50768858.93</v>
      </c>
      <c r="H217" s="20">
        <f t="shared" si="53"/>
        <v>-64637256.88</v>
      </c>
      <c r="I217" s="20">
        <f t="shared" si="53"/>
        <v>-78459798.93</v>
      </c>
      <c r="J217" s="20">
        <f t="shared" si="53"/>
        <v>-91896811.69</v>
      </c>
      <c r="K217" s="20">
        <f t="shared" si="53"/>
        <v>-105333824.5</v>
      </c>
      <c r="L217" s="20">
        <f t="shared" si="53"/>
        <v>-118770837.2</v>
      </c>
      <c r="M217" s="20">
        <f t="shared" si="53"/>
        <v>-132207850</v>
      </c>
      <c r="N217" s="7"/>
    </row>
    <row r="218">
      <c r="A218" s="2"/>
      <c r="B218" s="11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>
      <c r="A219" s="7"/>
      <c r="B219" s="186" t="s">
        <v>437</v>
      </c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5"/>
    </row>
    <row r="220">
      <c r="A220" s="2"/>
      <c r="B220" s="178" t="s">
        <v>340</v>
      </c>
      <c r="C220" s="179" t="s">
        <v>418</v>
      </c>
      <c r="D220" s="179" t="s">
        <v>380</v>
      </c>
      <c r="E220" s="179" t="s">
        <v>381</v>
      </c>
      <c r="F220" s="179" t="s">
        <v>382</v>
      </c>
      <c r="G220" s="179" t="s">
        <v>383</v>
      </c>
      <c r="H220" s="179" t="s">
        <v>384</v>
      </c>
      <c r="I220" s="179" t="s">
        <v>385</v>
      </c>
      <c r="J220" s="179" t="s">
        <v>386</v>
      </c>
      <c r="K220" s="179" t="s">
        <v>387</v>
      </c>
      <c r="L220" s="179" t="s">
        <v>388</v>
      </c>
      <c r="M220" s="179" t="s">
        <v>389</v>
      </c>
      <c r="N220" s="185"/>
    </row>
    <row r="221" ht="18.75" customHeight="1">
      <c r="A221" s="160"/>
      <c r="B221" s="170" t="s">
        <v>393</v>
      </c>
      <c r="C221" s="162">
        <v>0.0</v>
      </c>
      <c r="D221" s="162">
        <f t="shared" ref="D221:M221" si="54">C126</f>
        <v>306487.5392</v>
      </c>
      <c r="E221" s="162">
        <f t="shared" si="54"/>
        <v>459731.3088</v>
      </c>
      <c r="F221" s="162">
        <f t="shared" si="54"/>
        <v>612975.0784</v>
      </c>
      <c r="G221" s="162">
        <f t="shared" si="54"/>
        <v>612975.0784</v>
      </c>
      <c r="H221" s="162">
        <f t="shared" si="54"/>
        <v>612975.0784</v>
      </c>
      <c r="I221" s="162">
        <f t="shared" si="54"/>
        <v>612975.0784</v>
      </c>
      <c r="J221" s="162">
        <f t="shared" si="54"/>
        <v>612975.0784</v>
      </c>
      <c r="K221" s="162">
        <f t="shared" si="54"/>
        <v>612975.0784</v>
      </c>
      <c r="L221" s="162">
        <f t="shared" si="54"/>
        <v>612975.0784</v>
      </c>
      <c r="M221" s="162">
        <f t="shared" si="54"/>
        <v>612975.0784</v>
      </c>
      <c r="N221" s="160"/>
    </row>
    <row r="222">
      <c r="A222" s="2"/>
      <c r="B222" s="92" t="s">
        <v>431</v>
      </c>
      <c r="C222" s="26">
        <f>-C63</f>
        <v>-3396733.807</v>
      </c>
      <c r="D222" s="26">
        <v>0.0</v>
      </c>
      <c r="E222" s="26">
        <v>0.0</v>
      </c>
      <c r="F222" s="26">
        <v>0.0</v>
      </c>
      <c r="G222" s="26">
        <v>0.0</v>
      </c>
      <c r="H222" s="26">
        <v>0.0</v>
      </c>
      <c r="I222" s="26">
        <v>0.0</v>
      </c>
      <c r="J222" s="26">
        <v>0.0</v>
      </c>
      <c r="K222" s="26">
        <v>0.0</v>
      </c>
      <c r="L222" s="26">
        <v>0.0</v>
      </c>
      <c r="M222" s="26">
        <v>0.0</v>
      </c>
      <c r="N222" s="2"/>
    </row>
    <row r="223">
      <c r="A223" s="7"/>
      <c r="B223" s="96" t="s">
        <v>432</v>
      </c>
      <c r="C223" s="20">
        <v>0.0</v>
      </c>
      <c r="D223" s="20">
        <v>0.0</v>
      </c>
      <c r="E223" s="20">
        <v>0.0</v>
      </c>
      <c r="F223" s="20">
        <v>0.0</v>
      </c>
      <c r="G223" s="20">
        <v>0.0</v>
      </c>
      <c r="H223" s="20">
        <v>0.0</v>
      </c>
      <c r="I223" s="20">
        <v>0.0</v>
      </c>
      <c r="J223" s="20">
        <v>0.0</v>
      </c>
      <c r="K223" s="20">
        <v>0.0</v>
      </c>
      <c r="L223" s="20">
        <v>0.0</v>
      </c>
      <c r="M223" s="20">
        <v>0.0</v>
      </c>
      <c r="N223" s="7"/>
    </row>
    <row r="224">
      <c r="A224" s="2"/>
      <c r="B224" s="92" t="s">
        <v>433</v>
      </c>
      <c r="C224" s="26">
        <f>-C62</f>
        <v>-1517733.807</v>
      </c>
      <c r="D224" s="26">
        <v>0.0</v>
      </c>
      <c r="E224" s="26">
        <v>0.0</v>
      </c>
      <c r="F224" s="26">
        <v>0.0</v>
      </c>
      <c r="G224" s="26">
        <v>0.0</v>
      </c>
      <c r="H224" s="26">
        <v>0.0</v>
      </c>
      <c r="I224" s="26">
        <v>0.0</v>
      </c>
      <c r="J224" s="26">
        <v>0.0</v>
      </c>
      <c r="K224" s="26">
        <v>0.0</v>
      </c>
      <c r="L224" s="26">
        <v>0.0</v>
      </c>
      <c r="M224" s="26">
        <v>0.0</v>
      </c>
      <c r="N224" s="2"/>
    </row>
    <row r="225">
      <c r="A225" s="7"/>
      <c r="B225" s="96" t="s">
        <v>434</v>
      </c>
      <c r="C225" s="20">
        <v>0.0</v>
      </c>
      <c r="D225" s="20">
        <f t="shared" ref="D225:M225" si="55">-D190</f>
        <v>-614808.8191</v>
      </c>
      <c r="E225" s="20">
        <f t="shared" si="55"/>
        <v>-568952.9127</v>
      </c>
      <c r="F225" s="20">
        <f t="shared" si="55"/>
        <v>-523097.0063</v>
      </c>
      <c r="G225" s="20">
        <f t="shared" si="55"/>
        <v>-477241.0999</v>
      </c>
      <c r="H225" s="20">
        <f t="shared" si="55"/>
        <v>-431385.1935</v>
      </c>
      <c r="I225" s="20">
        <f t="shared" si="55"/>
        <v>-385529.2871</v>
      </c>
      <c r="J225" s="20">
        <f t="shared" si="55"/>
        <v>0</v>
      </c>
      <c r="K225" s="20">
        <f t="shared" si="55"/>
        <v>0</v>
      </c>
      <c r="L225" s="20">
        <f t="shared" si="55"/>
        <v>0</v>
      </c>
      <c r="M225" s="20">
        <f t="shared" si="55"/>
        <v>0</v>
      </c>
      <c r="N225" s="7"/>
    </row>
    <row r="226">
      <c r="A226" s="2"/>
      <c r="B226" s="152" t="s">
        <v>435</v>
      </c>
      <c r="C226" s="22">
        <f t="shared" ref="C226:M226" si="56">C221+C222+C223+C224+C225</f>
        <v>-4914467.614</v>
      </c>
      <c r="D226" s="22">
        <f t="shared" si="56"/>
        <v>-308321.2799</v>
      </c>
      <c r="E226" s="22">
        <f t="shared" si="56"/>
        <v>-109221.6039</v>
      </c>
      <c r="F226" s="22">
        <f t="shared" si="56"/>
        <v>89878.07213</v>
      </c>
      <c r="G226" s="22">
        <f t="shared" si="56"/>
        <v>135733.9785</v>
      </c>
      <c r="H226" s="22">
        <f t="shared" si="56"/>
        <v>181589.8849</v>
      </c>
      <c r="I226" s="22">
        <f t="shared" si="56"/>
        <v>227445.7913</v>
      </c>
      <c r="J226" s="22">
        <f t="shared" si="56"/>
        <v>612975.0784</v>
      </c>
      <c r="K226" s="22">
        <f t="shared" si="56"/>
        <v>612975.0784</v>
      </c>
      <c r="L226" s="22">
        <f t="shared" si="56"/>
        <v>612975.0784</v>
      </c>
      <c r="M226" s="22">
        <f t="shared" si="56"/>
        <v>612975.0784</v>
      </c>
      <c r="N226" s="2"/>
    </row>
    <row r="227">
      <c r="A227" s="7"/>
      <c r="B227" s="96" t="s">
        <v>436</v>
      </c>
      <c r="C227" s="20">
        <f>C226</f>
        <v>-4914467.614</v>
      </c>
      <c r="D227" s="20">
        <f t="shared" ref="D227:M227" si="57">C227+D226</f>
        <v>-5222788.894</v>
      </c>
      <c r="E227" s="20">
        <f t="shared" si="57"/>
        <v>-5332010.498</v>
      </c>
      <c r="F227" s="20">
        <f t="shared" si="57"/>
        <v>-5242132.425</v>
      </c>
      <c r="G227" s="20">
        <f t="shared" si="57"/>
        <v>-5106398.447</v>
      </c>
      <c r="H227" s="20">
        <f t="shared" si="57"/>
        <v>-4924808.562</v>
      </c>
      <c r="I227" s="20">
        <f t="shared" si="57"/>
        <v>-4697362.771</v>
      </c>
      <c r="J227" s="20">
        <f t="shared" si="57"/>
        <v>-4084387.692</v>
      </c>
      <c r="K227" s="20">
        <f t="shared" si="57"/>
        <v>-3471412.614</v>
      </c>
      <c r="L227" s="20">
        <f t="shared" si="57"/>
        <v>-2858437.535</v>
      </c>
      <c r="M227" s="20">
        <f t="shared" si="57"/>
        <v>-2245462.457</v>
      </c>
      <c r="N227" s="7"/>
    </row>
    <row r="228">
      <c r="A228" s="2"/>
      <c r="B228" s="11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</row>
    <row r="229">
      <c r="A229" s="7"/>
      <c r="B229" s="186" t="s">
        <v>438</v>
      </c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5"/>
    </row>
    <row r="230">
      <c r="A230" s="2"/>
      <c r="B230" s="178" t="s">
        <v>340</v>
      </c>
      <c r="C230" s="179" t="s">
        <v>418</v>
      </c>
      <c r="D230" s="179" t="s">
        <v>380</v>
      </c>
      <c r="E230" s="179" t="s">
        <v>381</v>
      </c>
      <c r="F230" s="179" t="s">
        <v>382</v>
      </c>
      <c r="G230" s="179" t="s">
        <v>383</v>
      </c>
      <c r="H230" s="179" t="s">
        <v>384</v>
      </c>
      <c r="I230" s="179" t="s">
        <v>385</v>
      </c>
      <c r="J230" s="179" t="s">
        <v>386</v>
      </c>
      <c r="K230" s="179" t="s">
        <v>387</v>
      </c>
      <c r="L230" s="179" t="s">
        <v>388</v>
      </c>
      <c r="M230" s="179" t="s">
        <v>389</v>
      </c>
      <c r="N230" s="185"/>
    </row>
    <row r="231" ht="18.75" customHeight="1">
      <c r="A231" s="160"/>
      <c r="B231" s="170" t="s">
        <v>393</v>
      </c>
      <c r="C231" s="162">
        <v>0.0</v>
      </c>
      <c r="D231" s="162">
        <f t="shared" ref="D231:M231" si="58">C147</f>
        <v>34481074.42</v>
      </c>
      <c r="E231" s="162">
        <f t="shared" si="58"/>
        <v>51721611.63</v>
      </c>
      <c r="F231" s="162">
        <f t="shared" si="58"/>
        <v>68962148.84</v>
      </c>
      <c r="G231" s="162">
        <f t="shared" si="58"/>
        <v>68962148.84</v>
      </c>
      <c r="H231" s="162">
        <f t="shared" si="58"/>
        <v>68962148.84</v>
      </c>
      <c r="I231" s="162">
        <f t="shared" si="58"/>
        <v>68962148.84</v>
      </c>
      <c r="J231" s="162">
        <f t="shared" si="58"/>
        <v>68962148.84</v>
      </c>
      <c r="K231" s="162">
        <f t="shared" si="58"/>
        <v>68962148.84</v>
      </c>
      <c r="L231" s="162">
        <f t="shared" si="58"/>
        <v>68962148.84</v>
      </c>
      <c r="M231" s="162">
        <f t="shared" si="58"/>
        <v>68962148.84</v>
      </c>
      <c r="N231" s="160"/>
    </row>
    <row r="232">
      <c r="A232" s="2"/>
      <c r="B232" s="92" t="s">
        <v>431</v>
      </c>
      <c r="C232" s="26">
        <f>-C63</f>
        <v>-3396733.807</v>
      </c>
      <c r="D232" s="26">
        <v>0.0</v>
      </c>
      <c r="E232" s="26">
        <v>0.0</v>
      </c>
      <c r="F232" s="26">
        <v>0.0</v>
      </c>
      <c r="G232" s="26">
        <v>0.0</v>
      </c>
      <c r="H232" s="26">
        <v>0.0</v>
      </c>
      <c r="I232" s="26">
        <v>0.0</v>
      </c>
      <c r="J232" s="26">
        <v>0.0</v>
      </c>
      <c r="K232" s="26">
        <v>0.0</v>
      </c>
      <c r="L232" s="26">
        <v>0.0</v>
      </c>
      <c r="M232" s="26">
        <v>0.0</v>
      </c>
      <c r="N232" s="2"/>
    </row>
    <row r="233">
      <c r="A233" s="7"/>
      <c r="B233" s="96" t="s">
        <v>432</v>
      </c>
      <c r="C233" s="20">
        <v>0.0</v>
      </c>
      <c r="D233" s="20">
        <v>0.0</v>
      </c>
      <c r="E233" s="20">
        <v>0.0</v>
      </c>
      <c r="F233" s="20">
        <v>0.0</v>
      </c>
      <c r="G233" s="20">
        <v>0.0</v>
      </c>
      <c r="H233" s="20">
        <v>0.0</v>
      </c>
      <c r="I233" s="20">
        <v>0.0</v>
      </c>
      <c r="J233" s="20">
        <v>0.0</v>
      </c>
      <c r="K233" s="20">
        <v>0.0</v>
      </c>
      <c r="L233" s="20">
        <v>0.0</v>
      </c>
      <c r="M233" s="20">
        <v>0.0</v>
      </c>
      <c r="N233" s="7"/>
    </row>
    <row r="234">
      <c r="A234" s="2"/>
      <c r="B234" s="92" t="s">
        <v>433</v>
      </c>
      <c r="C234" s="26">
        <f>-C62</f>
        <v>-1517733.807</v>
      </c>
      <c r="D234" s="26">
        <v>0.0</v>
      </c>
      <c r="E234" s="26">
        <v>0.0</v>
      </c>
      <c r="F234" s="26">
        <v>0.0</v>
      </c>
      <c r="G234" s="26">
        <v>0.0</v>
      </c>
      <c r="H234" s="26">
        <v>0.0</v>
      </c>
      <c r="I234" s="26">
        <v>0.0</v>
      </c>
      <c r="J234" s="26">
        <v>0.0</v>
      </c>
      <c r="K234" s="26">
        <v>0.0</v>
      </c>
      <c r="L234" s="26">
        <v>0.0</v>
      </c>
      <c r="M234" s="26">
        <v>0.0</v>
      </c>
      <c r="N234" s="2"/>
    </row>
    <row r="235">
      <c r="A235" s="7"/>
      <c r="B235" s="96" t="s">
        <v>434</v>
      </c>
      <c r="C235" s="20">
        <v>0.0</v>
      </c>
      <c r="D235" s="20">
        <f t="shared" ref="D235:M235" si="59">-D204</f>
        <v>-614808.8191</v>
      </c>
      <c r="E235" s="20">
        <f t="shared" si="59"/>
        <v>-568952.9127</v>
      </c>
      <c r="F235" s="20">
        <f t="shared" si="59"/>
        <v>-523097.0063</v>
      </c>
      <c r="G235" s="20">
        <f t="shared" si="59"/>
        <v>-477241.0999</v>
      </c>
      <c r="H235" s="20">
        <f t="shared" si="59"/>
        <v>-431385.1935</v>
      </c>
      <c r="I235" s="20">
        <f t="shared" si="59"/>
        <v>-385529.2871</v>
      </c>
      <c r="J235" s="20">
        <f t="shared" si="59"/>
        <v>0</v>
      </c>
      <c r="K235" s="20">
        <f t="shared" si="59"/>
        <v>0</v>
      </c>
      <c r="L235" s="20">
        <f t="shared" si="59"/>
        <v>0</v>
      </c>
      <c r="M235" s="20">
        <f t="shared" si="59"/>
        <v>0</v>
      </c>
      <c r="N235" s="7"/>
    </row>
    <row r="236">
      <c r="A236" s="2"/>
      <c r="B236" s="152" t="s">
        <v>435</v>
      </c>
      <c r="C236" s="22">
        <f t="shared" ref="C236:M236" si="60">C231+C232+C233+C234+C235</f>
        <v>-4914467.614</v>
      </c>
      <c r="D236" s="22">
        <f t="shared" si="60"/>
        <v>33866265.6</v>
      </c>
      <c r="E236" s="22">
        <f t="shared" si="60"/>
        <v>51152658.72</v>
      </c>
      <c r="F236" s="22">
        <f t="shared" si="60"/>
        <v>68439051.83</v>
      </c>
      <c r="G236" s="22">
        <f t="shared" si="60"/>
        <v>68484907.74</v>
      </c>
      <c r="H236" s="22">
        <f t="shared" si="60"/>
        <v>68530763.64</v>
      </c>
      <c r="I236" s="22">
        <f t="shared" si="60"/>
        <v>68576619.55</v>
      </c>
      <c r="J236" s="22">
        <f t="shared" si="60"/>
        <v>68962148.84</v>
      </c>
      <c r="K236" s="22">
        <f t="shared" si="60"/>
        <v>68962148.84</v>
      </c>
      <c r="L236" s="22">
        <f t="shared" si="60"/>
        <v>68962148.84</v>
      </c>
      <c r="M236" s="22">
        <f t="shared" si="60"/>
        <v>68962148.84</v>
      </c>
      <c r="N236" s="2"/>
    </row>
    <row r="237">
      <c r="A237" s="7"/>
      <c r="B237" s="96" t="s">
        <v>436</v>
      </c>
      <c r="C237" s="20">
        <f>C236</f>
        <v>-4914467.614</v>
      </c>
      <c r="D237" s="20">
        <f t="shared" ref="D237:M237" si="61">C237+D236</f>
        <v>28951797.99</v>
      </c>
      <c r="E237" s="20">
        <f t="shared" si="61"/>
        <v>80104456.7</v>
      </c>
      <c r="F237" s="20">
        <f t="shared" si="61"/>
        <v>148543508.5</v>
      </c>
      <c r="G237" s="20">
        <f t="shared" si="61"/>
        <v>217028416.3</v>
      </c>
      <c r="H237" s="20">
        <f t="shared" si="61"/>
        <v>285559179.9</v>
      </c>
      <c r="I237" s="20">
        <f t="shared" si="61"/>
        <v>354135799.5</v>
      </c>
      <c r="J237" s="20">
        <f t="shared" si="61"/>
        <v>423097948.3</v>
      </c>
      <c r="K237" s="20">
        <f t="shared" si="61"/>
        <v>492060097.1</v>
      </c>
      <c r="L237" s="20">
        <f t="shared" si="61"/>
        <v>561022246</v>
      </c>
      <c r="M237" s="20">
        <f t="shared" si="61"/>
        <v>629984394.8</v>
      </c>
      <c r="N237" s="7"/>
    </row>
    <row r="238">
      <c r="A238" s="2"/>
      <c r="B238" s="11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</row>
    <row r="239">
      <c r="A239" s="7"/>
      <c r="B239" s="168" t="s">
        <v>498</v>
      </c>
      <c r="C239" s="4"/>
      <c r="D239" s="4"/>
      <c r="E239" s="4"/>
      <c r="F239" s="4"/>
      <c r="G239" s="4"/>
      <c r="H239" s="5"/>
      <c r="I239" s="182"/>
      <c r="J239" s="182"/>
      <c r="K239" s="182"/>
      <c r="L239" s="182"/>
      <c r="M239" s="182"/>
      <c r="N239" s="182"/>
    </row>
    <row r="240">
      <c r="A240" s="164"/>
      <c r="B240" s="186" t="s">
        <v>440</v>
      </c>
      <c r="C240" s="4"/>
      <c r="D240" s="4"/>
      <c r="E240" s="4"/>
      <c r="F240" s="4"/>
      <c r="G240" s="4"/>
      <c r="H240" s="5"/>
      <c r="I240" s="164"/>
      <c r="J240" s="164"/>
      <c r="K240" s="164"/>
      <c r="L240" s="164"/>
      <c r="M240" s="164"/>
      <c r="N240" s="164"/>
      <c r="O240" s="164"/>
      <c r="P240" s="164"/>
      <c r="Q240" s="164"/>
      <c r="R240" s="164"/>
      <c r="S240" s="164"/>
      <c r="T240" s="164"/>
      <c r="U240" s="164"/>
      <c r="V240" s="164"/>
      <c r="W240" s="164"/>
      <c r="X240" s="164"/>
      <c r="Y240" s="164"/>
      <c r="Z240" s="164"/>
    </row>
    <row r="241">
      <c r="A241" s="164"/>
      <c r="B241" s="178" t="s">
        <v>340</v>
      </c>
      <c r="C241" s="179" t="s">
        <v>418</v>
      </c>
      <c r="D241" s="179" t="s">
        <v>382</v>
      </c>
      <c r="E241" s="179" t="s">
        <v>384</v>
      </c>
      <c r="F241" s="179" t="s">
        <v>389</v>
      </c>
      <c r="G241" s="185"/>
      <c r="H241" s="185"/>
      <c r="I241" s="185"/>
      <c r="J241" s="185"/>
      <c r="K241" s="185"/>
      <c r="L241" s="185"/>
      <c r="M241" s="185"/>
      <c r="N241" s="185"/>
      <c r="O241" s="164"/>
      <c r="P241" s="164"/>
      <c r="Q241" s="164"/>
      <c r="R241" s="164"/>
      <c r="S241" s="164"/>
      <c r="T241" s="164"/>
      <c r="U241" s="164"/>
      <c r="V241" s="164"/>
      <c r="W241" s="164"/>
      <c r="X241" s="164"/>
      <c r="Y241" s="164"/>
      <c r="Z241" s="164"/>
    </row>
    <row r="242">
      <c r="A242" s="2"/>
      <c r="B242" s="152" t="s">
        <v>441</v>
      </c>
      <c r="C242" s="130"/>
      <c r="D242" s="130"/>
      <c r="E242" s="130"/>
      <c r="F242" s="130"/>
      <c r="G242" s="2"/>
      <c r="H242" s="2"/>
      <c r="I242" s="2"/>
      <c r="J242" s="2"/>
      <c r="K242" s="2"/>
      <c r="L242" s="2"/>
      <c r="M242" s="2"/>
      <c r="N242" s="2"/>
    </row>
    <row r="243">
      <c r="A243" s="7"/>
      <c r="B243" s="96" t="s">
        <v>442</v>
      </c>
      <c r="C243" s="20">
        <f>C59+C60</f>
        <v>1824000</v>
      </c>
      <c r="D243" s="20">
        <f>C243-E163*3</f>
        <v>1318800</v>
      </c>
      <c r="E243" s="20">
        <f>C243-E163*5</f>
        <v>982000</v>
      </c>
      <c r="F243" s="20">
        <f>MAX(0,C243-E163*10)</f>
        <v>140000</v>
      </c>
      <c r="G243" s="7"/>
      <c r="H243" s="7"/>
      <c r="I243" s="7"/>
      <c r="J243" s="7"/>
      <c r="K243" s="7"/>
      <c r="L243" s="7"/>
      <c r="M243" s="7"/>
      <c r="N243" s="7"/>
    </row>
    <row r="244">
      <c r="A244" s="2"/>
      <c r="B244" s="92" t="s">
        <v>443</v>
      </c>
      <c r="C244" s="26">
        <f>C62</f>
        <v>1517733.807</v>
      </c>
      <c r="D244" s="26">
        <f>C62</f>
        <v>1517733.807</v>
      </c>
      <c r="E244" s="26">
        <f>C62</f>
        <v>1517733.807</v>
      </c>
      <c r="F244" s="26">
        <f>C62</f>
        <v>1517733.807</v>
      </c>
      <c r="G244" s="2"/>
      <c r="H244" s="2"/>
      <c r="I244" s="2"/>
      <c r="J244" s="2"/>
      <c r="K244" s="2"/>
      <c r="L244" s="2"/>
      <c r="M244" s="2"/>
      <c r="N244" s="2"/>
    </row>
    <row r="245">
      <c r="A245" s="7"/>
      <c r="B245" s="163" t="s">
        <v>444</v>
      </c>
      <c r="C245" s="34">
        <f t="shared" ref="C245:F245" si="62">C243+C244</f>
        <v>3341733.807</v>
      </c>
      <c r="D245" s="34">
        <f t="shared" si="62"/>
        <v>2836533.807</v>
      </c>
      <c r="E245" s="34">
        <f t="shared" si="62"/>
        <v>2499733.807</v>
      </c>
      <c r="F245" s="34">
        <f t="shared" si="62"/>
        <v>1657733.807</v>
      </c>
      <c r="G245" s="7"/>
      <c r="H245" s="7"/>
      <c r="I245" s="7"/>
      <c r="J245" s="7"/>
      <c r="K245" s="7"/>
      <c r="L245" s="7"/>
      <c r="M245" s="7"/>
      <c r="N245" s="7"/>
    </row>
    <row r="246">
      <c r="A246" s="2"/>
      <c r="B246" s="11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</row>
    <row r="247">
      <c r="A247" s="7"/>
      <c r="B247" s="163" t="s">
        <v>445</v>
      </c>
      <c r="C247" s="131"/>
      <c r="D247" s="131"/>
      <c r="E247" s="131"/>
      <c r="F247" s="131"/>
      <c r="G247" s="7"/>
      <c r="H247" s="7"/>
      <c r="I247" s="7"/>
      <c r="J247" s="7"/>
      <c r="K247" s="7"/>
      <c r="L247" s="7"/>
      <c r="M247" s="7"/>
      <c r="N247" s="7"/>
    </row>
    <row r="248">
      <c r="A248" s="2"/>
      <c r="B248" s="92" t="s">
        <v>446</v>
      </c>
      <c r="C248" s="26">
        <f>C177</f>
        <v>2038040.284</v>
      </c>
      <c r="D248" s="26">
        <f>F177</f>
        <v>1019020.142</v>
      </c>
      <c r="E248" s="26">
        <f>H177</f>
        <v>339673.3807</v>
      </c>
      <c r="F248" s="26">
        <f>M177</f>
        <v>0</v>
      </c>
      <c r="G248" s="2"/>
      <c r="H248" s="2"/>
      <c r="I248" s="2"/>
      <c r="J248" s="2"/>
      <c r="K248" s="2"/>
      <c r="L248" s="2"/>
      <c r="M248" s="2"/>
      <c r="N248" s="2"/>
    </row>
    <row r="249">
      <c r="A249" s="7"/>
      <c r="B249" s="96" t="s">
        <v>447</v>
      </c>
      <c r="C249" s="20">
        <f t="shared" ref="C249:F249" si="63">C245-C248</f>
        <v>1303693.523</v>
      </c>
      <c r="D249" s="20">
        <f t="shared" si="63"/>
        <v>1817513.665</v>
      </c>
      <c r="E249" s="20">
        <f t="shared" si="63"/>
        <v>2160060.426</v>
      </c>
      <c r="F249" s="20">
        <f t="shared" si="63"/>
        <v>1657733.807</v>
      </c>
      <c r="G249" s="7"/>
      <c r="H249" s="7"/>
      <c r="I249" s="7"/>
      <c r="J249" s="7"/>
      <c r="K249" s="7"/>
      <c r="L249" s="7"/>
      <c r="M249" s="7"/>
      <c r="N249" s="7"/>
    </row>
    <row r="250">
      <c r="A250" s="2"/>
      <c r="B250" s="152" t="s">
        <v>448</v>
      </c>
      <c r="C250" s="22">
        <f t="shared" ref="C250:F250" si="64">C248+C249</f>
        <v>3341733.807</v>
      </c>
      <c r="D250" s="22">
        <f t="shared" si="64"/>
        <v>2836533.807</v>
      </c>
      <c r="E250" s="22">
        <f t="shared" si="64"/>
        <v>2499733.807</v>
      </c>
      <c r="F250" s="22">
        <f t="shared" si="64"/>
        <v>1657733.807</v>
      </c>
      <c r="G250" s="2"/>
      <c r="H250" s="2"/>
      <c r="I250" s="2"/>
      <c r="J250" s="2"/>
      <c r="K250" s="2"/>
      <c r="L250" s="2"/>
      <c r="M250" s="2"/>
      <c r="N250" s="2"/>
    </row>
    <row r="251">
      <c r="A251" s="7"/>
      <c r="B251" s="173" t="s">
        <v>449</v>
      </c>
      <c r="C251" s="174" t="str">
        <f t="shared" ref="C251:F251" si="65">IF(ABS(C245-C250)&lt;1,"OK","ERROR")</f>
        <v>OK</v>
      </c>
      <c r="D251" s="174" t="str">
        <f t="shared" si="65"/>
        <v>OK</v>
      </c>
      <c r="E251" s="174" t="str">
        <f t="shared" si="65"/>
        <v>OK</v>
      </c>
      <c r="F251" s="174" t="str">
        <f t="shared" si="65"/>
        <v>OK</v>
      </c>
      <c r="G251" s="7"/>
      <c r="H251" s="7"/>
      <c r="I251" s="7"/>
      <c r="J251" s="7"/>
      <c r="K251" s="7"/>
      <c r="L251" s="7"/>
      <c r="M251" s="7"/>
      <c r="N251" s="7"/>
    </row>
    <row r="252">
      <c r="A252" s="2"/>
      <c r="B252" s="11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</row>
    <row r="253">
      <c r="A253" s="164"/>
      <c r="B253" s="186" t="s">
        <v>450</v>
      </c>
      <c r="C253" s="4"/>
      <c r="D253" s="4"/>
      <c r="E253" s="4"/>
      <c r="F253" s="4"/>
      <c r="G253" s="4"/>
      <c r="H253" s="5"/>
      <c r="I253" s="164"/>
      <c r="J253" s="164"/>
      <c r="K253" s="164"/>
      <c r="L253" s="164"/>
      <c r="M253" s="164"/>
      <c r="N253" s="164"/>
      <c r="O253" s="164"/>
      <c r="P253" s="164"/>
      <c r="Q253" s="164"/>
      <c r="R253" s="164"/>
      <c r="S253" s="164"/>
      <c r="T253" s="164"/>
      <c r="U253" s="164"/>
      <c r="V253" s="164"/>
      <c r="W253" s="164"/>
      <c r="X253" s="164"/>
      <c r="Y253" s="164"/>
      <c r="Z253" s="164"/>
    </row>
    <row r="254">
      <c r="A254" s="164"/>
      <c r="B254" s="178" t="s">
        <v>340</v>
      </c>
      <c r="C254" s="179" t="s">
        <v>418</v>
      </c>
      <c r="D254" s="179" t="s">
        <v>382</v>
      </c>
      <c r="E254" s="179" t="s">
        <v>384</v>
      </c>
      <c r="F254" s="179" t="s">
        <v>389</v>
      </c>
      <c r="G254" s="185"/>
      <c r="H254" s="185"/>
      <c r="I254" s="185"/>
      <c r="J254" s="185"/>
      <c r="K254" s="185"/>
      <c r="L254" s="185"/>
      <c r="M254" s="185"/>
      <c r="N254" s="185"/>
      <c r="O254" s="164"/>
      <c r="P254" s="164"/>
      <c r="Q254" s="164"/>
      <c r="R254" s="164"/>
      <c r="S254" s="164"/>
      <c r="T254" s="164"/>
      <c r="U254" s="164"/>
      <c r="V254" s="164"/>
      <c r="W254" s="164"/>
      <c r="X254" s="164"/>
      <c r="Y254" s="164"/>
      <c r="Z254" s="164"/>
    </row>
    <row r="255">
      <c r="A255" s="7"/>
      <c r="B255" s="163" t="s">
        <v>441</v>
      </c>
      <c r="C255" s="131"/>
      <c r="D255" s="131"/>
      <c r="E255" s="131"/>
      <c r="F255" s="131"/>
      <c r="G255" s="7"/>
      <c r="H255" s="7"/>
      <c r="I255" s="7"/>
      <c r="J255" s="7"/>
      <c r="K255" s="7"/>
      <c r="L255" s="7"/>
      <c r="M255" s="7"/>
      <c r="N255" s="7"/>
    </row>
    <row r="256">
      <c r="A256" s="2"/>
      <c r="B256" s="92" t="s">
        <v>442</v>
      </c>
      <c r="C256" s="26">
        <f>C59+C60</f>
        <v>1824000</v>
      </c>
      <c r="D256" s="26">
        <f>C256-E163*3</f>
        <v>1318800</v>
      </c>
      <c r="E256" s="26">
        <f>C256-E163*5</f>
        <v>982000</v>
      </c>
      <c r="F256" s="26">
        <f>MAX(0,C256-E163*10)</f>
        <v>140000</v>
      </c>
      <c r="G256" s="2"/>
      <c r="H256" s="2"/>
      <c r="I256" s="2"/>
      <c r="J256" s="2"/>
      <c r="K256" s="2"/>
      <c r="L256" s="2"/>
      <c r="M256" s="2"/>
      <c r="N256" s="2"/>
    </row>
    <row r="257">
      <c r="A257" s="7"/>
      <c r="B257" s="96" t="s">
        <v>443</v>
      </c>
      <c r="C257" s="20">
        <f>C62</f>
        <v>1517733.807</v>
      </c>
      <c r="D257" s="20">
        <f>C62</f>
        <v>1517733.807</v>
      </c>
      <c r="E257" s="20">
        <f>C62</f>
        <v>1517733.807</v>
      </c>
      <c r="F257" s="20">
        <f>C62</f>
        <v>1517733.807</v>
      </c>
      <c r="G257" s="7"/>
      <c r="H257" s="7"/>
      <c r="I257" s="7"/>
      <c r="J257" s="7"/>
      <c r="K257" s="7"/>
      <c r="L257" s="7"/>
      <c r="M257" s="7"/>
      <c r="N257" s="7"/>
    </row>
    <row r="258">
      <c r="A258" s="2"/>
      <c r="B258" s="152" t="s">
        <v>444</v>
      </c>
      <c r="C258" s="22">
        <f t="shared" ref="C258:F258" si="66">C256+C257</f>
        <v>3341733.807</v>
      </c>
      <c r="D258" s="22">
        <f t="shared" si="66"/>
        <v>2836533.807</v>
      </c>
      <c r="E258" s="22">
        <f t="shared" si="66"/>
        <v>2499733.807</v>
      </c>
      <c r="F258" s="22">
        <f t="shared" si="66"/>
        <v>1657733.807</v>
      </c>
      <c r="G258" s="2"/>
      <c r="H258" s="2"/>
      <c r="I258" s="2"/>
      <c r="J258" s="2"/>
      <c r="K258" s="2"/>
      <c r="L258" s="2"/>
      <c r="M258" s="2"/>
      <c r="N258" s="2"/>
    </row>
    <row r="259">
      <c r="A259" s="7"/>
      <c r="B259" s="13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</row>
    <row r="260">
      <c r="A260" s="2"/>
      <c r="B260" s="152" t="s">
        <v>445</v>
      </c>
      <c r="C260" s="130"/>
      <c r="D260" s="130"/>
      <c r="E260" s="130"/>
      <c r="F260" s="130"/>
      <c r="G260" s="2"/>
      <c r="H260" s="2"/>
      <c r="I260" s="2"/>
      <c r="J260" s="2"/>
      <c r="K260" s="2"/>
      <c r="L260" s="2"/>
      <c r="M260" s="2"/>
      <c r="N260" s="2"/>
    </row>
    <row r="261">
      <c r="A261" s="7"/>
      <c r="B261" s="96" t="s">
        <v>446</v>
      </c>
      <c r="C261" s="20">
        <f>C191</f>
        <v>2038040.284</v>
      </c>
      <c r="D261" s="20">
        <f>F191</f>
        <v>1019020.142</v>
      </c>
      <c r="E261" s="20">
        <f>H191</f>
        <v>339673.3807</v>
      </c>
      <c r="F261" s="20">
        <f>M191</f>
        <v>0</v>
      </c>
      <c r="G261" s="7"/>
      <c r="H261" s="7"/>
      <c r="I261" s="7"/>
      <c r="J261" s="7"/>
      <c r="K261" s="7"/>
      <c r="L261" s="7"/>
      <c r="M261" s="7"/>
      <c r="N261" s="7"/>
    </row>
    <row r="262">
      <c r="A262" s="2"/>
      <c r="B262" s="92" t="s">
        <v>447</v>
      </c>
      <c r="C262" s="26">
        <f t="shared" ref="C262:F262" si="67">C258-C261</f>
        <v>1303693.523</v>
      </c>
      <c r="D262" s="26">
        <f t="shared" si="67"/>
        <v>1817513.665</v>
      </c>
      <c r="E262" s="26">
        <f t="shared" si="67"/>
        <v>2160060.426</v>
      </c>
      <c r="F262" s="26">
        <f t="shared" si="67"/>
        <v>1657733.807</v>
      </c>
      <c r="G262" s="2"/>
      <c r="H262" s="2"/>
      <c r="I262" s="2"/>
      <c r="J262" s="2"/>
      <c r="K262" s="2"/>
      <c r="L262" s="2"/>
      <c r="M262" s="2"/>
      <c r="N262" s="2"/>
    </row>
    <row r="263">
      <c r="A263" s="7"/>
      <c r="B263" s="163" t="s">
        <v>448</v>
      </c>
      <c r="C263" s="34">
        <f t="shared" ref="C263:F263" si="68">C261+C262</f>
        <v>3341733.807</v>
      </c>
      <c r="D263" s="34">
        <f t="shared" si="68"/>
        <v>2836533.807</v>
      </c>
      <c r="E263" s="34">
        <f t="shared" si="68"/>
        <v>2499733.807</v>
      </c>
      <c r="F263" s="34">
        <f t="shared" si="68"/>
        <v>1657733.807</v>
      </c>
      <c r="G263" s="7"/>
      <c r="H263" s="7"/>
      <c r="I263" s="7"/>
      <c r="J263" s="7"/>
      <c r="K263" s="7"/>
      <c r="L263" s="7"/>
      <c r="M263" s="7"/>
      <c r="N263" s="7"/>
    </row>
    <row r="264">
      <c r="A264" s="2"/>
      <c r="B264" s="171" t="s">
        <v>449</v>
      </c>
      <c r="C264" s="172" t="str">
        <f t="shared" ref="C264:F264" si="69">IF(ABS(C258-C263)&lt;1,"OK","ERROR")</f>
        <v>OK</v>
      </c>
      <c r="D264" s="172" t="str">
        <f t="shared" si="69"/>
        <v>OK</v>
      </c>
      <c r="E264" s="172" t="str">
        <f t="shared" si="69"/>
        <v>OK</v>
      </c>
      <c r="F264" s="172" t="str">
        <f t="shared" si="69"/>
        <v>OK</v>
      </c>
      <c r="G264" s="2"/>
      <c r="H264" s="2"/>
      <c r="I264" s="2"/>
      <c r="J264" s="2"/>
      <c r="K264" s="2"/>
      <c r="L264" s="2"/>
      <c r="M264" s="2"/>
      <c r="N264" s="2"/>
    </row>
    <row r="265">
      <c r="A265" s="7"/>
      <c r="B265" s="13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</row>
    <row r="266">
      <c r="A266" s="164"/>
      <c r="B266" s="186" t="s">
        <v>451</v>
      </c>
      <c r="C266" s="4"/>
      <c r="D266" s="4"/>
      <c r="E266" s="4"/>
      <c r="F266" s="4"/>
      <c r="G266" s="4"/>
      <c r="H266" s="5"/>
      <c r="I266" s="164"/>
      <c r="J266" s="164"/>
      <c r="K266" s="164"/>
      <c r="L266" s="164"/>
      <c r="M266" s="164"/>
      <c r="N266" s="164"/>
      <c r="O266" s="164"/>
      <c r="P266" s="164"/>
      <c r="Q266" s="164"/>
      <c r="R266" s="164"/>
      <c r="S266" s="164"/>
      <c r="T266" s="164"/>
      <c r="U266" s="164"/>
      <c r="V266" s="164"/>
      <c r="W266" s="164"/>
      <c r="X266" s="164"/>
      <c r="Y266" s="164"/>
      <c r="Z266" s="164"/>
    </row>
    <row r="267">
      <c r="A267" s="164"/>
      <c r="B267" s="178" t="s">
        <v>340</v>
      </c>
      <c r="C267" s="179" t="s">
        <v>418</v>
      </c>
      <c r="D267" s="179" t="s">
        <v>382</v>
      </c>
      <c r="E267" s="179" t="s">
        <v>384</v>
      </c>
      <c r="F267" s="179" t="s">
        <v>389</v>
      </c>
      <c r="G267" s="185"/>
      <c r="H267" s="185"/>
      <c r="I267" s="185"/>
      <c r="J267" s="185"/>
      <c r="K267" s="185"/>
      <c r="L267" s="185"/>
      <c r="M267" s="185"/>
      <c r="N267" s="185"/>
      <c r="O267" s="164"/>
      <c r="P267" s="164"/>
      <c r="Q267" s="164"/>
      <c r="R267" s="164"/>
      <c r="S267" s="164"/>
      <c r="T267" s="164"/>
      <c r="U267" s="164"/>
      <c r="V267" s="164"/>
      <c r="W267" s="164"/>
      <c r="X267" s="164"/>
      <c r="Y267" s="164"/>
      <c r="Z267" s="164"/>
    </row>
    <row r="268">
      <c r="A268" s="2"/>
      <c r="B268" s="152" t="s">
        <v>441</v>
      </c>
      <c r="C268" s="130"/>
      <c r="D268" s="130"/>
      <c r="E268" s="130"/>
      <c r="F268" s="130"/>
      <c r="G268" s="2"/>
      <c r="H268" s="2"/>
      <c r="I268" s="2"/>
      <c r="J268" s="2"/>
      <c r="K268" s="2"/>
      <c r="L268" s="2"/>
      <c r="M268" s="2"/>
      <c r="N268" s="2"/>
    </row>
    <row r="269">
      <c r="A269" s="7"/>
      <c r="B269" s="96" t="s">
        <v>442</v>
      </c>
      <c r="C269" s="20">
        <f>C59+C60</f>
        <v>1824000</v>
      </c>
      <c r="D269" s="20">
        <f>C269-E163*3</f>
        <v>1318800</v>
      </c>
      <c r="E269" s="20">
        <f>C269-E163*5</f>
        <v>982000</v>
      </c>
      <c r="F269" s="20">
        <f>MAX(0,C269-E163*10)</f>
        <v>140000</v>
      </c>
      <c r="G269" s="7"/>
      <c r="H269" s="7"/>
      <c r="I269" s="7"/>
      <c r="J269" s="7"/>
      <c r="K269" s="7"/>
      <c r="L269" s="7"/>
      <c r="M269" s="7"/>
      <c r="N269" s="7"/>
    </row>
    <row r="270">
      <c r="A270" s="2"/>
      <c r="B270" s="92" t="s">
        <v>443</v>
      </c>
      <c r="C270" s="26">
        <f>C62</f>
        <v>1517733.807</v>
      </c>
      <c r="D270" s="26">
        <f>C62</f>
        <v>1517733.807</v>
      </c>
      <c r="E270" s="26">
        <f>C62</f>
        <v>1517733.807</v>
      </c>
      <c r="F270" s="26">
        <f>C62</f>
        <v>1517733.807</v>
      </c>
      <c r="G270" s="2"/>
      <c r="H270" s="2"/>
      <c r="I270" s="2"/>
      <c r="J270" s="2"/>
      <c r="K270" s="2"/>
      <c r="L270" s="2"/>
      <c r="M270" s="2"/>
      <c r="N270" s="2"/>
    </row>
    <row r="271">
      <c r="A271" s="7"/>
      <c r="B271" s="163" t="s">
        <v>444</v>
      </c>
      <c r="C271" s="34">
        <f t="shared" ref="C271:F271" si="70">C269+C270</f>
        <v>3341733.807</v>
      </c>
      <c r="D271" s="34">
        <f t="shared" si="70"/>
        <v>2836533.807</v>
      </c>
      <c r="E271" s="34">
        <f t="shared" si="70"/>
        <v>2499733.807</v>
      </c>
      <c r="F271" s="34">
        <f t="shared" si="70"/>
        <v>1657733.807</v>
      </c>
      <c r="G271" s="7"/>
      <c r="H271" s="7"/>
      <c r="I271" s="7"/>
      <c r="J271" s="7"/>
      <c r="K271" s="7"/>
      <c r="L271" s="7"/>
      <c r="M271" s="7"/>
      <c r="N271" s="7"/>
    </row>
    <row r="272">
      <c r="A272" s="2"/>
      <c r="B272" s="11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>
      <c r="A273" s="7"/>
      <c r="B273" s="163" t="s">
        <v>445</v>
      </c>
      <c r="C273" s="131"/>
      <c r="D273" s="131"/>
      <c r="E273" s="131"/>
      <c r="F273" s="131"/>
      <c r="G273" s="7"/>
      <c r="H273" s="7"/>
      <c r="I273" s="7"/>
      <c r="J273" s="7"/>
      <c r="K273" s="7"/>
      <c r="L273" s="7"/>
      <c r="M273" s="7"/>
      <c r="N273" s="7"/>
    </row>
    <row r="274">
      <c r="A274" s="2"/>
      <c r="B274" s="92" t="s">
        <v>446</v>
      </c>
      <c r="C274" s="26">
        <f>C205</f>
        <v>2038040.284</v>
      </c>
      <c r="D274" s="26">
        <f>F205</f>
        <v>1019020.142</v>
      </c>
      <c r="E274" s="26">
        <f>H205</f>
        <v>339673.3807</v>
      </c>
      <c r="F274" s="26">
        <f>M205</f>
        <v>0</v>
      </c>
      <c r="G274" s="2"/>
      <c r="H274" s="2"/>
      <c r="I274" s="2"/>
      <c r="J274" s="2"/>
      <c r="K274" s="2"/>
      <c r="L274" s="2"/>
      <c r="M274" s="2"/>
      <c r="N274" s="2"/>
    </row>
    <row r="275">
      <c r="A275" s="7"/>
      <c r="B275" s="96" t="s">
        <v>447</v>
      </c>
      <c r="C275" s="20">
        <f t="shared" ref="C275:F275" si="71">C271-C274</f>
        <v>1303693.523</v>
      </c>
      <c r="D275" s="20">
        <f t="shared" si="71"/>
        <v>1817513.665</v>
      </c>
      <c r="E275" s="20">
        <f t="shared" si="71"/>
        <v>2160060.426</v>
      </c>
      <c r="F275" s="20">
        <f t="shared" si="71"/>
        <v>1657733.807</v>
      </c>
      <c r="G275" s="7"/>
      <c r="H275" s="7"/>
      <c r="I275" s="7"/>
      <c r="J275" s="7"/>
      <c r="K275" s="7"/>
      <c r="L275" s="7"/>
      <c r="M275" s="7"/>
      <c r="N275" s="7"/>
    </row>
    <row r="276">
      <c r="A276" s="2"/>
      <c r="B276" s="152" t="s">
        <v>448</v>
      </c>
      <c r="C276" s="22">
        <f t="shared" ref="C276:F276" si="72">C274+C275</f>
        <v>3341733.807</v>
      </c>
      <c r="D276" s="22">
        <f t="shared" si="72"/>
        <v>2836533.807</v>
      </c>
      <c r="E276" s="22">
        <f t="shared" si="72"/>
        <v>2499733.807</v>
      </c>
      <c r="F276" s="22">
        <f t="shared" si="72"/>
        <v>1657733.807</v>
      </c>
      <c r="G276" s="2"/>
      <c r="H276" s="2"/>
      <c r="I276" s="2"/>
      <c r="J276" s="2"/>
      <c r="K276" s="2"/>
      <c r="L276" s="2"/>
      <c r="M276" s="2"/>
      <c r="N276" s="2"/>
    </row>
    <row r="277">
      <c r="A277" s="7"/>
      <c r="B277" s="173" t="s">
        <v>449</v>
      </c>
      <c r="C277" s="174" t="str">
        <f t="shared" ref="C277:F277" si="73">IF(ABS(C271-C276)&lt;1,"OK","ERROR")</f>
        <v>OK</v>
      </c>
      <c r="D277" s="174" t="str">
        <f t="shared" si="73"/>
        <v>OK</v>
      </c>
      <c r="E277" s="174" t="str">
        <f t="shared" si="73"/>
        <v>OK</v>
      </c>
      <c r="F277" s="174" t="str">
        <f t="shared" si="73"/>
        <v>OK</v>
      </c>
      <c r="G277" s="7"/>
      <c r="H277" s="7"/>
      <c r="I277" s="7"/>
      <c r="J277" s="7"/>
      <c r="K277" s="7"/>
      <c r="L277" s="7"/>
      <c r="M277" s="7"/>
      <c r="N277" s="7"/>
    </row>
    <row r="278">
      <c r="A278" s="2"/>
      <c r="B278" s="11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</row>
    <row r="279">
      <c r="A279" s="164"/>
      <c r="B279" s="165" t="s">
        <v>499</v>
      </c>
      <c r="C279" s="4"/>
      <c r="D279" s="4"/>
      <c r="E279" s="4"/>
      <c r="F279" s="5"/>
      <c r="G279" s="190"/>
      <c r="H279" s="190"/>
      <c r="I279" s="190"/>
      <c r="J279" s="190"/>
      <c r="K279" s="190"/>
      <c r="L279" s="190"/>
      <c r="M279" s="190"/>
      <c r="N279" s="190"/>
      <c r="O279" s="164"/>
      <c r="P279" s="164"/>
      <c r="Q279" s="164"/>
      <c r="R279" s="164"/>
      <c r="S279" s="164"/>
      <c r="T279" s="164"/>
      <c r="U279" s="164"/>
      <c r="V279" s="164"/>
      <c r="W279" s="164"/>
      <c r="X279" s="164"/>
      <c r="Y279" s="164"/>
      <c r="Z279" s="164"/>
    </row>
    <row r="280">
      <c r="A280" s="164"/>
      <c r="B280" s="178" t="s">
        <v>453</v>
      </c>
      <c r="C280" s="179" t="s">
        <v>349</v>
      </c>
      <c r="D280" s="179" t="s">
        <v>365</v>
      </c>
      <c r="E280" s="179" t="s">
        <v>350</v>
      </c>
      <c r="F280" s="164"/>
      <c r="G280" s="164"/>
      <c r="H280" s="164"/>
      <c r="I280" s="164"/>
      <c r="J280" s="164"/>
      <c r="K280" s="164"/>
      <c r="L280" s="164"/>
      <c r="M280" s="164"/>
      <c r="N280" s="164"/>
      <c r="O280" s="164"/>
      <c r="P280" s="164"/>
      <c r="Q280" s="164"/>
      <c r="R280" s="164"/>
      <c r="S280" s="164"/>
      <c r="T280" s="164"/>
      <c r="U280" s="164"/>
      <c r="V280" s="164"/>
      <c r="W280" s="164"/>
      <c r="X280" s="164"/>
      <c r="Y280" s="164"/>
      <c r="Z280" s="164"/>
    </row>
    <row r="281">
      <c r="A281" s="7"/>
      <c r="B281" s="96" t="s">
        <v>18</v>
      </c>
      <c r="C281" s="20">
        <f t="array" ref="C281">C216+NPV(C14,D216:M216)</f>
        <v>-55059991.55</v>
      </c>
      <c r="D281" s="20">
        <f t="array" ref="D281">C226+NPV(C14,D226:M226)</f>
        <v>-4449205.328</v>
      </c>
      <c r="E281" s="20">
        <f t="array" ref="E281">C236+NPV(C14,D236:M236)</f>
        <v>241757799.3</v>
      </c>
      <c r="F281" s="7"/>
      <c r="G281" s="7"/>
      <c r="H281" s="7"/>
      <c r="I281" s="7"/>
      <c r="J281" s="7"/>
      <c r="K281" s="7"/>
      <c r="L281" s="7"/>
      <c r="M281" s="7"/>
      <c r="N281" s="7"/>
    </row>
    <row r="282">
      <c r="A282" s="2"/>
      <c r="B282" s="92" t="s">
        <v>19</v>
      </c>
      <c r="C282" s="36" t="str">
        <f>IFERROR(IRR(C216:M216,0.2),"-")</f>
        <v>-</v>
      </c>
      <c r="D282" s="36">
        <f>IFERROR(IRR(C226:M226,0.2),"-")</f>
        <v>-0.0679918039</v>
      </c>
      <c r="E282" s="36">
        <f>IFERROR(IRR(C236:M236,0.2),"-")</f>
        <v>7.362099814</v>
      </c>
      <c r="F282" s="2"/>
      <c r="G282" s="2"/>
      <c r="H282" s="2"/>
      <c r="I282" s="2"/>
      <c r="J282" s="2"/>
      <c r="K282" s="2"/>
      <c r="L282" s="2"/>
      <c r="M282" s="2"/>
      <c r="N282" s="2"/>
    </row>
    <row r="283">
      <c r="A283" s="7"/>
      <c r="B283" s="96" t="s">
        <v>20</v>
      </c>
      <c r="C283" s="24" t="str">
        <f>IFERROR(IRR(C216:M216,0.2),"-")</f>
        <v>-</v>
      </c>
      <c r="D283" s="24">
        <f>IFERROR(IRR(C226:M226,0.2),"-")</f>
        <v>-0.0679918039</v>
      </c>
      <c r="E283" s="24">
        <f>IFERROR(IRR(C236:M236,0.2),"-")</f>
        <v>7.362099814</v>
      </c>
      <c r="F283" s="7"/>
      <c r="G283" s="7"/>
      <c r="H283" s="7"/>
      <c r="I283" s="7"/>
      <c r="J283" s="7"/>
      <c r="K283" s="7"/>
      <c r="L283" s="7"/>
      <c r="M283" s="7"/>
      <c r="N283" s="7"/>
    </row>
    <row r="284">
      <c r="A284" s="2"/>
      <c r="B284" s="92" t="s">
        <v>21</v>
      </c>
      <c r="C284" s="40">
        <f>IF(D216&gt;0,-C216/(D216/12),999)</f>
        <v>999</v>
      </c>
      <c r="D284" s="40">
        <f>IF(D226&gt;0,-C226/(D226/12),999)</f>
        <v>999</v>
      </c>
      <c r="E284" s="40">
        <f>IF(D236&gt;0,-C236/(D236/12),999)</f>
        <v>1.741367414</v>
      </c>
      <c r="F284" s="2"/>
      <c r="G284" s="2"/>
      <c r="H284" s="2"/>
      <c r="I284" s="2"/>
      <c r="J284" s="2"/>
      <c r="K284" s="2"/>
      <c r="L284" s="2"/>
      <c r="M284" s="2"/>
      <c r="N284" s="2"/>
    </row>
    <row r="285">
      <c r="A285" s="7"/>
      <c r="B285" s="96" t="s">
        <v>22</v>
      </c>
      <c r="C285" s="41">
        <f t="shared" ref="C285:E285" si="74">C284*1.15</f>
        <v>1148.85</v>
      </c>
      <c r="D285" s="41">
        <f t="shared" si="74"/>
        <v>1148.85</v>
      </c>
      <c r="E285" s="41">
        <f t="shared" si="74"/>
        <v>2.002572527</v>
      </c>
      <c r="F285" s="7"/>
      <c r="G285" s="7"/>
      <c r="H285" s="7"/>
      <c r="I285" s="7"/>
      <c r="J285" s="7"/>
      <c r="K285" s="7"/>
      <c r="L285" s="7"/>
      <c r="M285" s="7"/>
      <c r="N285" s="7"/>
    </row>
    <row r="286">
      <c r="A286" s="2"/>
      <c r="B286" s="92" t="s">
        <v>23</v>
      </c>
      <c r="C286" s="42">
        <f>IF(-C216&gt;0,SUM(D216:M216)/-C216,0)</f>
        <v>-25.90176442</v>
      </c>
      <c r="D286" s="42">
        <f>IF(-C226&gt;0,SUM(D226:M226)/-C226,0)</f>
        <v>0.5430914122</v>
      </c>
      <c r="E286" s="42">
        <f>IF(-C236&gt;0,SUM(D236:M236)/-C236,0)</f>
        <v>129.1897541</v>
      </c>
      <c r="F286" s="2"/>
      <c r="G286" s="2"/>
      <c r="H286" s="2"/>
      <c r="I286" s="2"/>
      <c r="J286" s="2"/>
      <c r="K286" s="2"/>
      <c r="L286" s="2"/>
      <c r="M286" s="2"/>
      <c r="N286" s="2"/>
    </row>
    <row r="287">
      <c r="A287" s="7"/>
      <c r="B287" s="96" t="s">
        <v>16</v>
      </c>
      <c r="C287" s="20">
        <f t="shared" ref="C287:C288" si="75">E104</f>
        <v>-13437012.76</v>
      </c>
      <c r="D287" s="20">
        <f t="shared" ref="D287:D288" si="76">E126</f>
        <v>612975.0784</v>
      </c>
      <c r="E287" s="20">
        <f t="shared" ref="E287:E288" si="77">E147</f>
        <v>68962148.84</v>
      </c>
      <c r="F287" s="7"/>
      <c r="G287" s="7"/>
      <c r="H287" s="7"/>
      <c r="I287" s="7"/>
      <c r="J287" s="7"/>
      <c r="K287" s="7"/>
      <c r="L287" s="7"/>
      <c r="M287" s="7"/>
      <c r="N287" s="7"/>
    </row>
    <row r="288">
      <c r="A288" s="2"/>
      <c r="B288" s="92" t="s">
        <v>17</v>
      </c>
      <c r="C288" s="36">
        <f t="shared" si="75"/>
        <v>-0.3854517208</v>
      </c>
      <c r="D288" s="36">
        <f t="shared" si="76"/>
        <v>0.01253260766</v>
      </c>
      <c r="E288" s="36">
        <f t="shared" si="77"/>
        <v>0.5881152053</v>
      </c>
      <c r="F288" s="2"/>
      <c r="G288" s="2"/>
      <c r="H288" s="2"/>
      <c r="I288" s="2"/>
      <c r="J288" s="2"/>
      <c r="K288" s="2"/>
      <c r="L288" s="2"/>
      <c r="M288" s="2"/>
      <c r="N288" s="2"/>
    </row>
    <row r="289">
      <c r="A289" s="7"/>
      <c r="B289" s="96" t="s">
        <v>25</v>
      </c>
      <c r="C289" s="45">
        <f>IF(D176&gt;0,C104/D176,"-")</f>
        <v>-10.92779767</v>
      </c>
      <c r="D289" s="45">
        <f>IF(D190&gt;0,C126/D190,"-")</f>
        <v>0.4985086903</v>
      </c>
      <c r="E289" s="45">
        <f>IF(D204&gt;0,C147/D204,"-")</f>
        <v>56.0842222</v>
      </c>
      <c r="F289" s="7"/>
      <c r="G289" s="7"/>
      <c r="H289" s="7"/>
      <c r="I289" s="7"/>
      <c r="J289" s="7"/>
      <c r="K289" s="7"/>
      <c r="L289" s="7"/>
      <c r="M289" s="7"/>
      <c r="N289" s="7"/>
    </row>
    <row r="290">
      <c r="A290" s="2"/>
      <c r="B290" s="92" t="s">
        <v>26</v>
      </c>
      <c r="C290" s="44">
        <f>IF(D93&gt;0,C79/(D93/(C34*1000))*1/C10,0)</f>
        <v>201101.0882</v>
      </c>
      <c r="D290" s="44">
        <f>IF(E93&gt;0,C79/(E93/(C34*1000))*1/C10,0)</f>
        <v>143332.8669</v>
      </c>
      <c r="E290" s="44">
        <f>IF(F93&gt;0,C79/(F93/(C34*1000))*1/C10,0)</f>
        <v>59785.90172</v>
      </c>
      <c r="F290" s="2"/>
      <c r="G290" s="2"/>
      <c r="H290" s="2"/>
      <c r="I290" s="2"/>
      <c r="J290" s="2"/>
      <c r="K290" s="2"/>
      <c r="L290" s="2"/>
      <c r="M290" s="2"/>
      <c r="N290" s="2"/>
    </row>
    <row r="291">
      <c r="A291" s="7"/>
      <c r="B291" s="96" t="s">
        <v>454</v>
      </c>
      <c r="C291" s="45">
        <f>IF(C79&gt;0,D93/C79,0)</f>
        <v>0.7217862485</v>
      </c>
      <c r="D291" s="45">
        <f>IF(C79&gt;0,E93/C79,0)</f>
        <v>1.012691667</v>
      </c>
      <c r="E291" s="45">
        <f>IF(C79&gt;0,F93/C79,0)</f>
        <v>2.427863356</v>
      </c>
      <c r="F291" s="7"/>
      <c r="G291" s="7"/>
      <c r="H291" s="7"/>
      <c r="I291" s="7"/>
      <c r="J291" s="7"/>
      <c r="K291" s="7"/>
      <c r="L291" s="7"/>
      <c r="M291" s="7"/>
      <c r="N291" s="7"/>
    </row>
    <row r="292">
      <c r="A292" s="2"/>
      <c r="B292" s="92" t="s">
        <v>455</v>
      </c>
      <c r="C292" s="26">
        <f>L104*C28</f>
        <v>-67185063.81</v>
      </c>
      <c r="D292" s="26">
        <f>L126*C28</f>
        <v>3064875.392</v>
      </c>
      <c r="E292" s="26">
        <f>L147*C28</f>
        <v>344810744.2</v>
      </c>
      <c r="F292" s="2"/>
      <c r="G292" s="2"/>
      <c r="H292" s="2"/>
      <c r="I292" s="2"/>
      <c r="J292" s="2"/>
      <c r="K292" s="2"/>
      <c r="L292" s="2"/>
      <c r="M292" s="2"/>
      <c r="N292" s="2"/>
    </row>
    <row r="293">
      <c r="A293" s="7"/>
      <c r="B293" s="96" t="s">
        <v>14</v>
      </c>
      <c r="C293" s="20">
        <f>C101/12</f>
        <v>1452517.92</v>
      </c>
      <c r="D293" s="20">
        <f>C123/12</f>
        <v>2037934.08</v>
      </c>
      <c r="E293" s="20">
        <f>C145/12</f>
        <v>4885816.32</v>
      </c>
      <c r="F293" s="7"/>
      <c r="G293" s="7"/>
      <c r="H293" s="7"/>
      <c r="I293" s="7"/>
      <c r="J293" s="7"/>
      <c r="K293" s="7"/>
      <c r="L293" s="7"/>
      <c r="M293" s="7"/>
      <c r="N293" s="7"/>
    </row>
    <row r="294">
      <c r="A294" s="2"/>
      <c r="B294" s="92" t="s">
        <v>15</v>
      </c>
      <c r="C294" s="26">
        <f>E101/12</f>
        <v>2905035.84</v>
      </c>
      <c r="D294" s="26">
        <f>E123/12</f>
        <v>4075868.16</v>
      </c>
      <c r="E294" s="26">
        <f>E145/12</f>
        <v>9771632.64</v>
      </c>
      <c r="F294" s="2"/>
      <c r="G294" s="2"/>
      <c r="H294" s="2"/>
      <c r="I294" s="2"/>
      <c r="J294" s="2"/>
      <c r="K294" s="2"/>
      <c r="L294" s="2"/>
      <c r="M294" s="2"/>
      <c r="N294" s="2"/>
    </row>
    <row r="295">
      <c r="A295" s="7"/>
      <c r="B295" s="96" t="s">
        <v>12</v>
      </c>
      <c r="C295" s="20">
        <f>C63*(1-C29)</f>
        <v>1358693.523</v>
      </c>
      <c r="D295" s="20">
        <f>C63*(1-C29)</f>
        <v>1358693.523</v>
      </c>
      <c r="E295" s="20">
        <f>C63*(1-C29)</f>
        <v>1358693.523</v>
      </c>
      <c r="F295" s="7"/>
      <c r="G295" s="7"/>
      <c r="H295" s="7"/>
      <c r="I295" s="7"/>
      <c r="J295" s="7"/>
      <c r="K295" s="7"/>
      <c r="L295" s="7"/>
      <c r="M295" s="7"/>
      <c r="N295" s="7"/>
    </row>
    <row r="296">
      <c r="A296" s="2"/>
      <c r="B296" s="11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</row>
    <row r="297">
      <c r="A297" s="164"/>
      <c r="B297" s="165" t="s">
        <v>500</v>
      </c>
      <c r="C297" s="4"/>
      <c r="D297" s="4"/>
      <c r="E297" s="4"/>
      <c r="F297" s="4"/>
      <c r="G297" s="4"/>
      <c r="H297" s="5"/>
      <c r="I297" s="190"/>
      <c r="J297" s="190"/>
      <c r="K297" s="190"/>
      <c r="L297" s="190"/>
      <c r="M297" s="190"/>
      <c r="N297" s="190"/>
      <c r="O297" s="164"/>
      <c r="P297" s="164"/>
      <c r="Q297" s="164"/>
      <c r="R297" s="164"/>
      <c r="S297" s="164"/>
      <c r="T297" s="164"/>
      <c r="U297" s="164"/>
      <c r="V297" s="164"/>
      <c r="W297" s="164"/>
      <c r="X297" s="164"/>
      <c r="Y297" s="164"/>
      <c r="Z297" s="164"/>
    </row>
    <row r="298">
      <c r="A298" s="164"/>
      <c r="B298" s="186" t="s">
        <v>457</v>
      </c>
      <c r="C298" s="4"/>
      <c r="D298" s="4"/>
      <c r="E298" s="4"/>
      <c r="F298" s="4"/>
      <c r="G298" s="4"/>
      <c r="H298" s="5"/>
      <c r="I298" s="164"/>
      <c r="J298" s="164"/>
      <c r="K298" s="164"/>
      <c r="L298" s="164"/>
      <c r="M298" s="164"/>
      <c r="N298" s="164"/>
      <c r="O298" s="164"/>
      <c r="P298" s="164"/>
      <c r="Q298" s="164"/>
      <c r="R298" s="164"/>
      <c r="S298" s="164"/>
      <c r="T298" s="164"/>
      <c r="U298" s="164"/>
      <c r="V298" s="164"/>
      <c r="W298" s="164"/>
      <c r="X298" s="164"/>
      <c r="Y298" s="164"/>
      <c r="Z298" s="164"/>
    </row>
    <row r="299">
      <c r="A299" s="164"/>
      <c r="B299" s="178" t="s">
        <v>458</v>
      </c>
      <c r="C299" s="179" t="s">
        <v>349</v>
      </c>
      <c r="D299" s="179" t="s">
        <v>365</v>
      </c>
      <c r="E299" s="179" t="s">
        <v>350</v>
      </c>
      <c r="F299" s="164"/>
      <c r="G299" s="164"/>
      <c r="H299" s="164"/>
      <c r="I299" s="164"/>
      <c r="J299" s="164"/>
      <c r="K299" s="164"/>
      <c r="L299" s="164"/>
      <c r="M299" s="164"/>
      <c r="N299" s="164"/>
      <c r="O299" s="164"/>
      <c r="P299" s="164"/>
      <c r="Q299" s="164"/>
      <c r="R299" s="164"/>
      <c r="S299" s="164"/>
      <c r="T299" s="164"/>
      <c r="U299" s="164"/>
      <c r="V299" s="164"/>
      <c r="W299" s="164"/>
      <c r="X299" s="164"/>
      <c r="Y299" s="164"/>
      <c r="Z299" s="164"/>
    </row>
    <row r="300">
      <c r="A300" s="2"/>
      <c r="B300" s="92" t="s">
        <v>459</v>
      </c>
      <c r="C300" s="26">
        <f>D93*(1+-0.2)-C79</f>
        <v>-1700758.231</v>
      </c>
      <c r="D300" s="26">
        <f>E93*(1+-0.2)-C79</f>
        <v>-764092.3755</v>
      </c>
      <c r="E300" s="26">
        <f>F93*(1+-0.2)-C79</f>
        <v>3792519.209</v>
      </c>
      <c r="F300" s="2"/>
      <c r="G300" s="2"/>
      <c r="H300" s="2"/>
      <c r="I300" s="2"/>
      <c r="J300" s="2"/>
      <c r="K300" s="2"/>
      <c r="L300" s="2"/>
      <c r="M300" s="2"/>
      <c r="N300" s="2"/>
    </row>
    <row r="301">
      <c r="A301" s="7"/>
      <c r="B301" s="96" t="s">
        <v>460</v>
      </c>
      <c r="C301" s="20">
        <f>D93*(1+-0.1)-C79</f>
        <v>-1410254.647</v>
      </c>
      <c r="D301" s="20">
        <f>E93*(1+-0.1)-C79</f>
        <v>-356505.5595</v>
      </c>
      <c r="E301" s="20">
        <f>F93*(1+-0.1)-C79</f>
        <v>4769682.473</v>
      </c>
      <c r="F301" s="7"/>
      <c r="G301" s="7"/>
      <c r="H301" s="7"/>
      <c r="I301" s="7"/>
      <c r="J301" s="7"/>
      <c r="K301" s="7"/>
      <c r="L301" s="7"/>
      <c r="M301" s="7"/>
      <c r="N301" s="7"/>
    </row>
    <row r="302">
      <c r="A302" s="2"/>
      <c r="B302" s="92" t="s">
        <v>461</v>
      </c>
      <c r="C302" s="26">
        <f>D93*(1+0)-C79</f>
        <v>-1119751.063</v>
      </c>
      <c r="D302" s="26">
        <f>E93*(1+0)-C79</f>
        <v>51081.25653</v>
      </c>
      <c r="E302" s="26">
        <f>F93*(1+0)-C79</f>
        <v>5746845.737</v>
      </c>
      <c r="F302" s="2"/>
      <c r="G302" s="2"/>
      <c r="H302" s="2"/>
      <c r="I302" s="2"/>
      <c r="J302" s="2"/>
      <c r="K302" s="2"/>
      <c r="L302" s="2"/>
      <c r="M302" s="2"/>
      <c r="N302" s="2"/>
    </row>
    <row r="303">
      <c r="A303" s="7"/>
      <c r="B303" s="96" t="s">
        <v>462</v>
      </c>
      <c r="C303" s="20">
        <f>D93*(1+0.1)-C79</f>
        <v>-829247.4795</v>
      </c>
      <c r="D303" s="20">
        <f>E93*(1+0.1)-C79</f>
        <v>458668.0725</v>
      </c>
      <c r="E303" s="20">
        <f>F93*(1+0.1)-C79</f>
        <v>6724009.001</v>
      </c>
      <c r="F303" s="7"/>
      <c r="G303" s="7"/>
      <c r="H303" s="7"/>
      <c r="I303" s="7"/>
      <c r="J303" s="7"/>
      <c r="K303" s="7"/>
      <c r="L303" s="7"/>
      <c r="M303" s="7"/>
      <c r="N303" s="7"/>
    </row>
    <row r="304">
      <c r="A304" s="2"/>
      <c r="B304" s="25" t="s">
        <v>463</v>
      </c>
      <c r="C304" s="26">
        <f>D93*(1+0.2)-C79</f>
        <v>-538743.8955</v>
      </c>
      <c r="D304" s="26">
        <f>E93*(1+0.2)-C79</f>
        <v>866254.8885</v>
      </c>
      <c r="E304" s="26">
        <f>F93*(1+0.2)-C79</f>
        <v>7701172.265</v>
      </c>
      <c r="F304" s="2"/>
      <c r="G304" s="2"/>
      <c r="H304" s="2"/>
      <c r="I304" s="2"/>
      <c r="J304" s="2"/>
      <c r="K304" s="2"/>
      <c r="L304" s="2"/>
      <c r="M304" s="2"/>
      <c r="N304" s="2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</row>
    <row r="306">
      <c r="A306" s="2"/>
      <c r="B306" s="21" t="s">
        <v>464</v>
      </c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</row>
    <row r="307">
      <c r="A307" s="7"/>
      <c r="B307" s="19" t="s">
        <v>465</v>
      </c>
      <c r="C307" s="20">
        <f>D93*0.5-C79</f>
        <v>-2572268.983</v>
      </c>
      <c r="D307" s="20">
        <f>E93*0.5-C79</f>
        <v>-1986852.823</v>
      </c>
      <c r="E307" s="20">
        <f>F93*0.5-C79</f>
        <v>861029.4165</v>
      </c>
      <c r="F307" s="7"/>
      <c r="G307" s="7"/>
      <c r="H307" s="7"/>
      <c r="I307" s="7"/>
      <c r="J307" s="7"/>
      <c r="K307" s="7"/>
      <c r="L307" s="7"/>
      <c r="M307" s="7"/>
      <c r="N307" s="7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</row>
    <row r="309">
      <c r="A309" s="7"/>
      <c r="B309" s="191" t="s">
        <v>501</v>
      </c>
      <c r="K309" s="7"/>
      <c r="L309" s="7"/>
      <c r="M309" s="7"/>
      <c r="N309" s="7"/>
    </row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mergeCells count="30">
    <mergeCell ref="B2:F2"/>
    <mergeCell ref="B33:F33"/>
    <mergeCell ref="G35:J40"/>
    <mergeCell ref="B46:N46"/>
    <mergeCell ref="B57:F57"/>
    <mergeCell ref="B65:F65"/>
    <mergeCell ref="B80:H80"/>
    <mergeCell ref="B82:H82"/>
    <mergeCell ref="B94:H94"/>
    <mergeCell ref="B96:N96"/>
    <mergeCell ref="B97:N97"/>
    <mergeCell ref="B118:N118"/>
    <mergeCell ref="B140:N140"/>
    <mergeCell ref="B159:H159"/>
    <mergeCell ref="B165:N165"/>
    <mergeCell ref="B166:N166"/>
    <mergeCell ref="B180:N180"/>
    <mergeCell ref="B194:N194"/>
    <mergeCell ref="B208:N208"/>
    <mergeCell ref="B209:N209"/>
    <mergeCell ref="B219:N219"/>
    <mergeCell ref="B298:H298"/>
    <mergeCell ref="B309:J309"/>
    <mergeCell ref="B229:N229"/>
    <mergeCell ref="B239:H239"/>
    <mergeCell ref="B240:H240"/>
    <mergeCell ref="B253:H253"/>
    <mergeCell ref="B266:H266"/>
    <mergeCell ref="B279:F279"/>
    <mergeCell ref="B297:H297"/>
  </mergeCells>
  <conditionalFormatting sqref="C300:E304">
    <cfRule type="cellIs" dxfId="6" priority="1" operator="greaterThan">
      <formula>0</formula>
    </cfRule>
  </conditionalFormatting>
  <conditionalFormatting sqref="C300:E304">
    <cfRule type="cellIs" dxfId="7" priority="2" operator="lessThan">
      <formula>0</formula>
    </cfRule>
  </conditionalFormatting>
  <conditionalFormatting sqref="C300:E304">
    <cfRule type="cellIs" dxfId="8" priority="3" operator="equal">
      <formula>0</formula>
    </cfRule>
  </conditionalFormatting>
  <printOptions/>
  <pageMargins bottom="1.0" footer="0.0" header="0.0" left="0.75" right="0.75" top="1.0"/>
  <pageSetup fitToHeight="0" orientation="landscape"/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.29"/>
    <col customWidth="1" min="2" max="2" width="30.86"/>
    <col customWidth="1" min="3" max="5" width="16.0"/>
    <col customWidth="1" min="6" max="6" width="18.0"/>
    <col customWidth="1" min="7" max="7" width="16.0"/>
    <col customWidth="1" min="8" max="8" width="12.0"/>
    <col customWidth="1" min="9" max="9" width="14.0"/>
    <col customWidth="1" min="10" max="10" width="12.0"/>
    <col customWidth="1" min="11" max="12" width="14.0"/>
    <col customWidth="1" min="13" max="13" width="16.0"/>
    <col customWidth="1" min="14" max="14" width="18.0"/>
    <col customWidth="1" min="15" max="26" width="8.71"/>
  </cols>
  <sheetData>
    <row r="1" ht="22.5" customHeight="1">
      <c r="A1" s="80"/>
      <c r="B1" s="88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</row>
    <row r="2" ht="18.75" customHeight="1">
      <c r="A2" s="82"/>
      <c r="B2" s="89" t="s">
        <v>502</v>
      </c>
      <c r="C2" s="4"/>
      <c r="D2" s="4"/>
      <c r="E2" s="4"/>
      <c r="F2" s="5"/>
      <c r="G2" s="82"/>
      <c r="H2" s="82"/>
      <c r="I2" s="82"/>
      <c r="J2" s="82"/>
      <c r="K2" s="82"/>
      <c r="L2" s="82"/>
      <c r="M2" s="82"/>
      <c r="N2" s="82"/>
    </row>
    <row r="3" ht="16.5" customHeight="1">
      <c r="A3" s="84"/>
      <c r="B3" s="90" t="s">
        <v>233</v>
      </c>
      <c r="C3" s="91" t="s">
        <v>234</v>
      </c>
      <c r="D3" s="91" t="s">
        <v>235</v>
      </c>
      <c r="E3" s="91" t="s">
        <v>236</v>
      </c>
      <c r="F3" s="91"/>
      <c r="G3" s="84"/>
      <c r="H3" s="84"/>
      <c r="I3" s="84"/>
      <c r="J3" s="84"/>
      <c r="K3" s="84"/>
      <c r="L3" s="84"/>
      <c r="M3" s="84"/>
      <c r="N3" s="84"/>
    </row>
    <row r="4">
      <c r="A4" s="2"/>
      <c r="B4" s="92" t="s">
        <v>237</v>
      </c>
      <c r="C4" s="93">
        <v>17.1</v>
      </c>
      <c r="D4" s="94" t="s">
        <v>238</v>
      </c>
      <c r="E4" s="95"/>
      <c r="F4" s="2"/>
      <c r="G4" s="2"/>
      <c r="H4" s="2"/>
      <c r="I4" s="2"/>
      <c r="J4" s="2"/>
      <c r="K4" s="2"/>
      <c r="L4" s="2"/>
      <c r="M4" s="2"/>
      <c r="N4" s="2"/>
    </row>
    <row r="5">
      <c r="A5" s="7"/>
      <c r="B5" s="96" t="s">
        <v>239</v>
      </c>
      <c r="C5" s="97">
        <v>3.0</v>
      </c>
      <c r="D5" s="98" t="s">
        <v>240</v>
      </c>
      <c r="E5" s="99" t="s">
        <v>241</v>
      </c>
      <c r="F5" s="7"/>
      <c r="G5" s="7"/>
      <c r="H5" s="7"/>
      <c r="I5" s="7"/>
      <c r="J5" s="7"/>
      <c r="K5" s="7"/>
      <c r="L5" s="7"/>
      <c r="M5" s="7"/>
      <c r="N5" s="7"/>
    </row>
    <row r="6">
      <c r="A6" s="2"/>
      <c r="B6" s="92" t="s">
        <v>242</v>
      </c>
      <c r="C6" s="93">
        <v>18.5</v>
      </c>
      <c r="D6" s="94" t="s">
        <v>243</v>
      </c>
      <c r="E6" s="95" t="s">
        <v>244</v>
      </c>
      <c r="F6" s="2"/>
      <c r="G6" s="2"/>
      <c r="H6" s="2"/>
      <c r="I6" s="2"/>
      <c r="J6" s="2"/>
      <c r="K6" s="2"/>
      <c r="L6" s="2"/>
      <c r="M6" s="2"/>
      <c r="N6" s="2"/>
    </row>
    <row r="7">
      <c r="A7" s="7"/>
      <c r="B7" s="96" t="s">
        <v>245</v>
      </c>
      <c r="C7" s="100">
        <v>26.0</v>
      </c>
      <c r="D7" s="98" t="s">
        <v>246</v>
      </c>
      <c r="E7" s="99" t="s">
        <v>244</v>
      </c>
      <c r="F7" s="7"/>
      <c r="G7" s="7"/>
      <c r="H7" s="7"/>
      <c r="I7" s="7"/>
      <c r="J7" s="7"/>
      <c r="K7" s="7"/>
      <c r="L7" s="7"/>
      <c r="M7" s="7"/>
      <c r="N7" s="7"/>
    </row>
    <row r="8">
      <c r="A8" s="2"/>
      <c r="B8" s="92" t="s">
        <v>247</v>
      </c>
      <c r="C8" s="93">
        <v>1.1</v>
      </c>
      <c r="D8" s="94" t="s">
        <v>248</v>
      </c>
      <c r="E8" s="95"/>
      <c r="F8" s="2"/>
      <c r="G8" s="2"/>
      <c r="H8" s="2"/>
      <c r="I8" s="2"/>
      <c r="J8" s="2"/>
      <c r="K8" s="2"/>
      <c r="L8" s="2"/>
      <c r="M8" s="2"/>
      <c r="N8" s="2"/>
    </row>
    <row r="9">
      <c r="A9" s="7"/>
      <c r="B9" s="96" t="s">
        <v>249</v>
      </c>
      <c r="C9" s="101">
        <v>300.0</v>
      </c>
      <c r="D9" s="98" t="s">
        <v>250</v>
      </c>
      <c r="E9" s="99"/>
      <c r="F9" s="7"/>
      <c r="G9" s="7"/>
      <c r="H9" s="7"/>
      <c r="I9" s="7"/>
      <c r="J9" s="7"/>
      <c r="K9" s="7"/>
      <c r="L9" s="7"/>
      <c r="M9" s="7"/>
      <c r="N9" s="7"/>
    </row>
    <row r="10">
      <c r="A10" s="2"/>
      <c r="B10" s="92" t="s">
        <v>251</v>
      </c>
      <c r="C10" s="102">
        <v>25.0</v>
      </c>
      <c r="D10" s="94" t="s">
        <v>250</v>
      </c>
      <c r="E10" s="95"/>
      <c r="F10" s="2"/>
      <c r="G10" s="2"/>
      <c r="H10" s="2"/>
      <c r="I10" s="2"/>
      <c r="J10" s="2"/>
      <c r="K10" s="2"/>
      <c r="L10" s="2"/>
      <c r="M10" s="2"/>
      <c r="N10" s="2"/>
    </row>
    <row r="11">
      <c r="A11" s="7"/>
      <c r="B11" s="96" t="s">
        <v>252</v>
      </c>
      <c r="C11" s="103">
        <v>0.1</v>
      </c>
      <c r="D11" s="98" t="s">
        <v>253</v>
      </c>
      <c r="E11" s="99"/>
      <c r="F11" s="7"/>
      <c r="G11" s="7"/>
      <c r="H11" s="7"/>
      <c r="I11" s="7"/>
      <c r="J11" s="7"/>
      <c r="K11" s="7"/>
      <c r="L11" s="7"/>
      <c r="M11" s="7"/>
      <c r="N11" s="7"/>
    </row>
    <row r="12">
      <c r="A12" s="2"/>
      <c r="B12" s="92" t="s">
        <v>255</v>
      </c>
      <c r="C12" s="102">
        <v>65.0</v>
      </c>
      <c r="D12" s="94" t="s">
        <v>256</v>
      </c>
      <c r="E12" s="95"/>
      <c r="F12" s="2"/>
      <c r="G12" s="2"/>
      <c r="H12" s="2"/>
      <c r="I12" s="2"/>
      <c r="J12" s="2"/>
      <c r="K12" s="2"/>
      <c r="L12" s="2"/>
      <c r="M12" s="2"/>
      <c r="N12" s="2"/>
    </row>
    <row r="13">
      <c r="A13" s="7"/>
      <c r="B13" s="96" t="s">
        <v>258</v>
      </c>
      <c r="C13" s="97">
        <v>1.35</v>
      </c>
      <c r="D13" s="98" t="s">
        <v>248</v>
      </c>
      <c r="E13" s="99"/>
      <c r="F13" s="7"/>
      <c r="G13" s="7"/>
      <c r="H13" s="7"/>
      <c r="I13" s="7"/>
      <c r="J13" s="7"/>
      <c r="K13" s="7"/>
      <c r="L13" s="7"/>
      <c r="M13" s="7"/>
      <c r="N13" s="7"/>
    </row>
    <row r="14">
      <c r="A14" s="2"/>
      <c r="B14" s="92" t="s">
        <v>259</v>
      </c>
      <c r="C14" s="106">
        <v>0.2</v>
      </c>
      <c r="D14" s="94" t="s">
        <v>253</v>
      </c>
      <c r="E14" s="95"/>
      <c r="F14" s="2"/>
      <c r="G14" s="2"/>
      <c r="H14" s="2"/>
      <c r="I14" s="2"/>
      <c r="J14" s="2"/>
      <c r="K14" s="2"/>
      <c r="L14" s="2"/>
      <c r="M14" s="2"/>
      <c r="N14" s="2"/>
    </row>
    <row r="15">
      <c r="A15" s="7"/>
      <c r="B15" s="96" t="s">
        <v>260</v>
      </c>
      <c r="C15" s="107">
        <v>0.3</v>
      </c>
      <c r="D15" s="98" t="s">
        <v>253</v>
      </c>
      <c r="E15" s="99"/>
      <c r="F15" s="7"/>
      <c r="G15" s="7"/>
      <c r="H15" s="7"/>
      <c r="I15" s="7"/>
      <c r="J15" s="7"/>
      <c r="K15" s="7"/>
      <c r="L15" s="7"/>
      <c r="M15" s="7"/>
      <c r="N15" s="7"/>
    </row>
    <row r="16">
      <c r="A16" s="2"/>
      <c r="B16" s="92" t="s">
        <v>261</v>
      </c>
      <c r="C16" s="106">
        <v>0.1</v>
      </c>
      <c r="D16" s="94" t="s">
        <v>253</v>
      </c>
      <c r="E16" s="95"/>
      <c r="F16" s="2"/>
      <c r="G16" s="2"/>
      <c r="H16" s="2"/>
      <c r="I16" s="2"/>
      <c r="J16" s="2"/>
      <c r="K16" s="2"/>
      <c r="L16" s="2"/>
      <c r="M16" s="2"/>
      <c r="N16" s="2"/>
    </row>
    <row r="17">
      <c r="A17" s="7"/>
      <c r="B17" s="96" t="s">
        <v>262</v>
      </c>
      <c r="C17" s="107">
        <v>0.05</v>
      </c>
      <c r="D17" s="98" t="s">
        <v>253</v>
      </c>
      <c r="E17" s="99"/>
      <c r="F17" s="7"/>
      <c r="G17" s="7"/>
      <c r="H17" s="7"/>
      <c r="I17" s="7"/>
      <c r="J17" s="7"/>
      <c r="K17" s="7"/>
      <c r="L17" s="7"/>
      <c r="M17" s="7"/>
      <c r="N17" s="7"/>
    </row>
    <row r="18">
      <c r="A18" s="2"/>
      <c r="B18" s="92" t="s">
        <v>263</v>
      </c>
      <c r="C18" s="102">
        <v>10.0</v>
      </c>
      <c r="D18" s="94" t="s">
        <v>264</v>
      </c>
      <c r="E18" s="95"/>
      <c r="F18" s="2"/>
      <c r="G18" s="2"/>
      <c r="H18" s="2"/>
      <c r="I18" s="2"/>
      <c r="J18" s="2"/>
      <c r="K18" s="2"/>
      <c r="L18" s="2"/>
      <c r="M18" s="2"/>
      <c r="N18" s="2"/>
    </row>
    <row r="19">
      <c r="A19" s="7"/>
      <c r="B19" s="96" t="s">
        <v>265</v>
      </c>
      <c r="C19" s="101">
        <v>4.0</v>
      </c>
      <c r="D19" s="98" t="s">
        <v>264</v>
      </c>
      <c r="E19" s="99"/>
      <c r="F19" s="7"/>
      <c r="G19" s="7"/>
      <c r="H19" s="7"/>
      <c r="I19" s="7"/>
      <c r="J19" s="7"/>
      <c r="K19" s="7"/>
      <c r="L19" s="7"/>
      <c r="M19" s="7"/>
      <c r="N19" s="7"/>
    </row>
    <row r="20">
      <c r="A20" s="2"/>
      <c r="B20" s="92" t="s">
        <v>266</v>
      </c>
      <c r="C20" s="102">
        <v>3.0</v>
      </c>
      <c r="D20" s="94" t="s">
        <v>264</v>
      </c>
      <c r="E20" s="95"/>
      <c r="F20" s="2"/>
      <c r="G20" s="2"/>
      <c r="H20" s="2"/>
      <c r="I20" s="2"/>
      <c r="J20" s="2"/>
      <c r="K20" s="2"/>
      <c r="L20" s="2"/>
      <c r="M20" s="2"/>
      <c r="N20" s="2"/>
    </row>
    <row r="21">
      <c r="A21" s="7"/>
      <c r="B21" s="96" t="s">
        <v>267</v>
      </c>
      <c r="C21" s="107">
        <v>0.75</v>
      </c>
      <c r="D21" s="98" t="s">
        <v>253</v>
      </c>
      <c r="E21" s="99"/>
      <c r="F21" s="7"/>
      <c r="G21" s="7"/>
      <c r="H21" s="7"/>
      <c r="I21" s="7"/>
      <c r="J21" s="7"/>
      <c r="K21" s="7"/>
      <c r="L21" s="7"/>
      <c r="M21" s="7"/>
      <c r="N21" s="7"/>
    </row>
    <row r="22">
      <c r="A22" s="2"/>
      <c r="B22" s="92" t="s">
        <v>268</v>
      </c>
      <c r="C22" s="106">
        <v>0.5</v>
      </c>
      <c r="D22" s="94" t="s">
        <v>253</v>
      </c>
      <c r="E22" s="95"/>
      <c r="F22" s="2"/>
      <c r="G22" s="2"/>
      <c r="H22" s="2"/>
      <c r="I22" s="2"/>
      <c r="J22" s="2"/>
      <c r="K22" s="2"/>
      <c r="L22" s="2"/>
      <c r="M22" s="2"/>
      <c r="N22" s="2"/>
    </row>
    <row r="23">
      <c r="A23" s="7"/>
      <c r="B23" s="96" t="s">
        <v>269</v>
      </c>
      <c r="C23" s="107">
        <v>0.75</v>
      </c>
      <c r="D23" s="98" t="s">
        <v>253</v>
      </c>
      <c r="E23" s="99"/>
      <c r="F23" s="7"/>
      <c r="G23" s="7"/>
      <c r="H23" s="7"/>
      <c r="I23" s="7"/>
      <c r="J23" s="7"/>
      <c r="K23" s="7"/>
      <c r="L23" s="7"/>
      <c r="M23" s="7"/>
      <c r="N23" s="7"/>
    </row>
    <row r="24">
      <c r="A24" s="2"/>
      <c r="B24" s="92" t="s">
        <v>270</v>
      </c>
      <c r="C24" s="106">
        <v>1.0</v>
      </c>
      <c r="D24" s="94" t="s">
        <v>253</v>
      </c>
      <c r="E24" s="95"/>
      <c r="F24" s="2"/>
      <c r="G24" s="2"/>
      <c r="H24" s="2"/>
      <c r="I24" s="2"/>
      <c r="J24" s="2"/>
      <c r="K24" s="2"/>
      <c r="L24" s="2"/>
      <c r="M24" s="2"/>
      <c r="N24" s="2"/>
    </row>
    <row r="25">
      <c r="A25" s="7"/>
      <c r="B25" s="96" t="s">
        <v>271</v>
      </c>
      <c r="C25" s="101">
        <v>30.0</v>
      </c>
      <c r="D25" s="98" t="s">
        <v>250</v>
      </c>
      <c r="E25" s="99"/>
      <c r="F25" s="7"/>
      <c r="G25" s="7"/>
      <c r="H25" s="7"/>
      <c r="I25" s="7"/>
      <c r="J25" s="7"/>
      <c r="K25" s="7"/>
      <c r="L25" s="7"/>
      <c r="M25" s="7"/>
      <c r="N25" s="7"/>
    </row>
    <row r="26">
      <c r="A26" s="2"/>
      <c r="B26" s="92" t="s">
        <v>272</v>
      </c>
      <c r="C26" s="102">
        <v>7.0</v>
      </c>
      <c r="D26" s="94" t="s">
        <v>250</v>
      </c>
      <c r="E26" s="95"/>
      <c r="F26" s="2"/>
      <c r="G26" s="2"/>
      <c r="H26" s="2"/>
      <c r="I26" s="2"/>
      <c r="J26" s="2"/>
      <c r="K26" s="2"/>
      <c r="L26" s="2"/>
      <c r="M26" s="2"/>
      <c r="N26" s="2"/>
    </row>
    <row r="27">
      <c r="A27" s="7"/>
      <c r="B27" s="96" t="s">
        <v>273</v>
      </c>
      <c r="C27" s="101">
        <v>15.0</v>
      </c>
      <c r="D27" s="98" t="s">
        <v>250</v>
      </c>
      <c r="E27" s="99"/>
      <c r="F27" s="7"/>
      <c r="G27" s="7"/>
      <c r="H27" s="7"/>
      <c r="I27" s="7"/>
      <c r="J27" s="7"/>
      <c r="K27" s="7"/>
      <c r="L27" s="7"/>
      <c r="M27" s="7"/>
      <c r="N27" s="7"/>
    </row>
    <row r="28">
      <c r="A28" s="2"/>
      <c r="B28" s="92" t="s">
        <v>274</v>
      </c>
      <c r="C28" s="111">
        <v>5.0</v>
      </c>
      <c r="D28" s="94" t="s">
        <v>248</v>
      </c>
      <c r="E28" s="95" t="s">
        <v>275</v>
      </c>
      <c r="F28" s="2"/>
      <c r="G28" s="2"/>
      <c r="H28" s="2"/>
      <c r="I28" s="2"/>
      <c r="J28" s="2"/>
      <c r="K28" s="2"/>
      <c r="L28" s="2"/>
      <c r="M28" s="2"/>
      <c r="N28" s="2"/>
    </row>
    <row r="29">
      <c r="A29" s="7"/>
      <c r="B29" s="96" t="s">
        <v>276</v>
      </c>
      <c r="C29" s="107">
        <v>0.6</v>
      </c>
      <c r="D29" s="98" t="s">
        <v>253</v>
      </c>
      <c r="E29" s="99" t="s">
        <v>277</v>
      </c>
      <c r="F29" s="7"/>
      <c r="G29" s="7"/>
      <c r="H29" s="7"/>
      <c r="I29" s="7"/>
      <c r="J29" s="7"/>
      <c r="K29" s="7"/>
      <c r="L29" s="7"/>
      <c r="M29" s="7"/>
      <c r="N29" s="7"/>
    </row>
    <row r="30">
      <c r="A30" s="2"/>
      <c r="B30" s="92" t="s">
        <v>278</v>
      </c>
      <c r="C30" s="106">
        <v>0.135</v>
      </c>
      <c r="D30" s="94" t="s">
        <v>279</v>
      </c>
      <c r="E30" s="95"/>
      <c r="F30" s="2"/>
      <c r="G30" s="2"/>
      <c r="H30" s="2"/>
      <c r="I30" s="2"/>
      <c r="J30" s="2"/>
      <c r="K30" s="2"/>
      <c r="L30" s="2"/>
      <c r="M30" s="2"/>
      <c r="N30" s="2"/>
    </row>
    <row r="31">
      <c r="A31" s="7"/>
      <c r="B31" s="96" t="s">
        <v>280</v>
      </c>
      <c r="C31" s="101">
        <v>6.0</v>
      </c>
      <c r="D31" s="98" t="s">
        <v>264</v>
      </c>
      <c r="E31" s="99"/>
      <c r="F31" s="7"/>
      <c r="G31" s="7"/>
      <c r="H31" s="7"/>
      <c r="I31" s="7"/>
      <c r="J31" s="7"/>
      <c r="K31" s="7"/>
      <c r="L31" s="7"/>
      <c r="M31" s="7"/>
      <c r="N31" s="7"/>
    </row>
    <row r="32">
      <c r="A32" s="2"/>
      <c r="B32" s="11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>
      <c r="A33" s="7"/>
      <c r="B33" s="113" t="s">
        <v>503</v>
      </c>
      <c r="C33" s="4"/>
      <c r="D33" s="4"/>
      <c r="E33" s="4"/>
      <c r="F33" s="5"/>
      <c r="G33" s="16"/>
      <c r="H33" s="16"/>
      <c r="I33" s="16"/>
      <c r="J33" s="16"/>
      <c r="K33" s="16"/>
      <c r="L33" s="16"/>
      <c r="M33" s="16"/>
      <c r="N33" s="16"/>
    </row>
    <row r="34">
      <c r="A34" s="2"/>
      <c r="B34" s="92" t="s">
        <v>282</v>
      </c>
      <c r="C34" s="109">
        <v>571.536</v>
      </c>
      <c r="D34" s="94" t="s">
        <v>283</v>
      </c>
      <c r="E34" s="95" t="s">
        <v>244</v>
      </c>
      <c r="F34" s="2"/>
      <c r="G34" s="2"/>
      <c r="H34" s="2"/>
      <c r="I34" s="2"/>
      <c r="J34" s="2"/>
      <c r="K34" s="2"/>
      <c r="L34" s="2"/>
      <c r="M34" s="2"/>
      <c r="N34" s="2"/>
    </row>
    <row r="35">
      <c r="A35" s="7"/>
      <c r="B35" s="96" t="s">
        <v>284</v>
      </c>
      <c r="C35" s="107">
        <v>0.3</v>
      </c>
      <c r="D35" s="98" t="s">
        <v>253</v>
      </c>
      <c r="E35" s="99" t="s">
        <v>285</v>
      </c>
      <c r="F35" s="7"/>
      <c r="G35" s="7"/>
      <c r="H35" s="7"/>
      <c r="I35" s="7"/>
      <c r="J35" s="7"/>
      <c r="K35" s="7"/>
      <c r="L35" s="7"/>
      <c r="M35" s="7"/>
      <c r="N35" s="7"/>
    </row>
    <row r="36">
      <c r="A36" s="2"/>
      <c r="B36" s="92" t="s">
        <v>286</v>
      </c>
      <c r="C36" s="106">
        <v>0.4</v>
      </c>
      <c r="D36" s="94" t="s">
        <v>253</v>
      </c>
      <c r="E36" s="95" t="s">
        <v>287</v>
      </c>
      <c r="F36" s="2"/>
      <c r="G36" s="2"/>
      <c r="H36" s="2"/>
      <c r="I36" s="2"/>
      <c r="J36" s="2"/>
      <c r="K36" s="2"/>
      <c r="L36" s="2"/>
      <c r="M36" s="2"/>
      <c r="N36" s="2"/>
    </row>
    <row r="37">
      <c r="A37" s="7"/>
      <c r="B37" s="96" t="s">
        <v>288</v>
      </c>
      <c r="C37" s="107">
        <v>0.8</v>
      </c>
      <c r="D37" s="98" t="s">
        <v>253</v>
      </c>
      <c r="E37" s="99" t="s">
        <v>289</v>
      </c>
      <c r="F37" s="7"/>
      <c r="G37" s="7"/>
      <c r="H37" s="7"/>
      <c r="I37" s="7"/>
      <c r="J37" s="7"/>
      <c r="K37" s="7"/>
      <c r="L37" s="7"/>
      <c r="M37" s="7"/>
      <c r="N37" s="7"/>
    </row>
    <row r="38">
      <c r="A38" s="2"/>
      <c r="B38" s="92" t="s">
        <v>290</v>
      </c>
      <c r="C38" s="93">
        <v>0.85</v>
      </c>
      <c r="D38" s="94" t="s">
        <v>291</v>
      </c>
      <c r="E38" s="95"/>
      <c r="F38" s="2"/>
      <c r="G38" s="2"/>
      <c r="H38" s="2"/>
      <c r="I38" s="2"/>
      <c r="J38" s="2"/>
      <c r="K38" s="2"/>
      <c r="L38" s="2"/>
      <c r="M38" s="2"/>
      <c r="N38" s="2"/>
    </row>
    <row r="39">
      <c r="A39" s="7"/>
      <c r="B39" s="96" t="s">
        <v>504</v>
      </c>
      <c r="C39" s="97">
        <v>42.0</v>
      </c>
      <c r="D39" s="98" t="s">
        <v>243</v>
      </c>
      <c r="E39" s="99" t="s">
        <v>293</v>
      </c>
      <c r="F39" s="7"/>
      <c r="G39" s="7"/>
      <c r="H39" s="7"/>
      <c r="I39" s="7"/>
      <c r="J39" s="7"/>
      <c r="K39" s="7"/>
      <c r="L39" s="7"/>
      <c r="M39" s="7"/>
      <c r="N39" s="7"/>
    </row>
    <row r="40">
      <c r="A40" s="2"/>
      <c r="B40" s="114" t="s">
        <v>505</v>
      </c>
      <c r="C40" s="115">
        <v>15.1</v>
      </c>
      <c r="D40" s="94" t="s">
        <v>243</v>
      </c>
      <c r="E40" s="95"/>
      <c r="F40" s="2"/>
      <c r="G40" s="2"/>
      <c r="H40" s="2"/>
      <c r="I40" s="2"/>
      <c r="J40" s="2"/>
      <c r="K40" s="2"/>
      <c r="L40" s="2"/>
      <c r="M40" s="2"/>
      <c r="N40" s="2"/>
    </row>
    <row r="41">
      <c r="A41" s="7"/>
      <c r="B41" s="96" t="s">
        <v>296</v>
      </c>
      <c r="C41" s="101">
        <v>250.0</v>
      </c>
      <c r="D41" s="98" t="s">
        <v>297</v>
      </c>
      <c r="E41" s="99"/>
      <c r="F41" s="7"/>
      <c r="G41" s="7"/>
      <c r="H41" s="7"/>
      <c r="I41" s="7"/>
      <c r="J41" s="7"/>
      <c r="K41" s="7"/>
      <c r="L41" s="7"/>
      <c r="M41" s="7"/>
      <c r="N41" s="7"/>
    </row>
    <row r="42">
      <c r="A42" s="2"/>
      <c r="B42" s="92" t="s">
        <v>506</v>
      </c>
      <c r="C42" s="116">
        <v>107325.0</v>
      </c>
      <c r="D42" s="94" t="s">
        <v>299</v>
      </c>
      <c r="E42" s="95" t="s">
        <v>507</v>
      </c>
      <c r="F42" s="2"/>
      <c r="G42" s="2"/>
      <c r="H42" s="2"/>
      <c r="I42" s="2"/>
      <c r="J42" s="2"/>
      <c r="K42" s="2"/>
      <c r="L42" s="2"/>
      <c r="M42" s="2"/>
      <c r="N42" s="2"/>
    </row>
    <row r="43">
      <c r="A43" s="7"/>
      <c r="B43" s="96" t="s">
        <v>301</v>
      </c>
      <c r="C43" s="192" t="s">
        <v>508</v>
      </c>
      <c r="D43" s="98"/>
      <c r="E43" s="99" t="s">
        <v>509</v>
      </c>
      <c r="F43" s="7"/>
      <c r="G43" s="7"/>
      <c r="H43" s="7"/>
      <c r="I43" s="7"/>
      <c r="J43" s="7"/>
      <c r="K43" s="7"/>
      <c r="L43" s="7"/>
      <c r="M43" s="7"/>
      <c r="N43" s="7"/>
    </row>
    <row r="44">
      <c r="A44" s="2"/>
      <c r="B44" s="118" t="s">
        <v>304</v>
      </c>
      <c r="C44" s="59">
        <v>12000.0</v>
      </c>
      <c r="D44" s="59" t="s">
        <v>299</v>
      </c>
      <c r="E44" s="59" t="s">
        <v>305</v>
      </c>
      <c r="F44" s="2"/>
      <c r="G44" s="2"/>
      <c r="H44" s="2"/>
      <c r="I44" s="2"/>
      <c r="J44" s="2"/>
      <c r="K44" s="2"/>
      <c r="L44" s="2"/>
      <c r="M44" s="2"/>
      <c r="N44" s="2"/>
    </row>
    <row r="45">
      <c r="A45" s="7"/>
      <c r="B45" s="119" t="s">
        <v>306</v>
      </c>
      <c r="C45" s="60">
        <v>3500.0</v>
      </c>
      <c r="D45" s="60" t="s">
        <v>299</v>
      </c>
      <c r="E45" s="60" t="s">
        <v>305</v>
      </c>
      <c r="F45" s="7"/>
      <c r="G45" s="7"/>
      <c r="H45" s="7"/>
      <c r="I45" s="7"/>
      <c r="J45" s="7"/>
      <c r="K45" s="7"/>
      <c r="L45" s="7"/>
      <c r="M45" s="7"/>
      <c r="N45" s="7"/>
    </row>
    <row r="46">
      <c r="A46" s="2"/>
      <c r="B46" s="120" t="s">
        <v>510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5"/>
    </row>
    <row r="47">
      <c r="A47" s="7"/>
      <c r="B47" s="193" t="s">
        <v>308</v>
      </c>
      <c r="C47" s="187" t="s">
        <v>309</v>
      </c>
      <c r="D47" s="187" t="s">
        <v>310</v>
      </c>
      <c r="E47" s="187" t="s">
        <v>311</v>
      </c>
      <c r="F47" s="187" t="s">
        <v>312</v>
      </c>
      <c r="G47" s="187" t="s">
        <v>313</v>
      </c>
      <c r="H47" s="187" t="s">
        <v>314</v>
      </c>
      <c r="I47" s="187" t="s">
        <v>315</v>
      </c>
      <c r="J47" s="187" t="s">
        <v>316</v>
      </c>
      <c r="K47" s="187" t="s">
        <v>317</v>
      </c>
      <c r="L47" s="187" t="s">
        <v>318</v>
      </c>
      <c r="M47" s="187" t="s">
        <v>319</v>
      </c>
      <c r="N47" s="187" t="s">
        <v>320</v>
      </c>
    </row>
    <row r="48">
      <c r="A48" s="2"/>
      <c r="B48" s="92" t="s">
        <v>511</v>
      </c>
      <c r="C48" s="94" t="s">
        <v>512</v>
      </c>
      <c r="D48" s="102">
        <v>1.0</v>
      </c>
      <c r="E48" s="116">
        <v>1200000.0</v>
      </c>
      <c r="F48" s="26">
        <f t="shared" ref="F48:F54" si="1">D48*E48</f>
        <v>1200000</v>
      </c>
      <c r="G48" s="123">
        <v>90.0</v>
      </c>
      <c r="H48" s="106">
        <v>0.65</v>
      </c>
      <c r="I48" s="124">
        <f t="shared" ref="I48:I50" si="2">H48*8</f>
        <v>5.2</v>
      </c>
      <c r="J48" s="44">
        <f>C10</f>
        <v>25</v>
      </c>
      <c r="K48" s="125">
        <f t="shared" ref="K48:K50" si="3">G48*I48*J48*D48</f>
        <v>11700</v>
      </c>
      <c r="L48" s="125">
        <f>K48*C8</f>
        <v>12870</v>
      </c>
      <c r="M48" s="26">
        <f>L48*C5</f>
        <v>38610</v>
      </c>
      <c r="N48" s="95" t="s">
        <v>513</v>
      </c>
    </row>
    <row r="49">
      <c r="A49" s="7"/>
      <c r="B49" s="96" t="s">
        <v>514</v>
      </c>
      <c r="C49" s="98" t="s">
        <v>330</v>
      </c>
      <c r="D49" s="101">
        <v>1.0</v>
      </c>
      <c r="E49" s="126">
        <v>280000.0</v>
      </c>
      <c r="F49" s="20">
        <f t="shared" si="1"/>
        <v>280000</v>
      </c>
      <c r="G49" s="127">
        <v>22.0</v>
      </c>
      <c r="H49" s="107">
        <v>0.7</v>
      </c>
      <c r="I49" s="128">
        <f t="shared" si="2"/>
        <v>5.6</v>
      </c>
      <c r="J49" s="129">
        <f>C10</f>
        <v>25</v>
      </c>
      <c r="K49" s="56">
        <f t="shared" si="3"/>
        <v>3080</v>
      </c>
      <c r="L49" s="56">
        <f>K49*C8</f>
        <v>3388</v>
      </c>
      <c r="M49" s="20">
        <f>L49*C5</f>
        <v>10164</v>
      </c>
      <c r="N49" s="99"/>
    </row>
    <row r="50">
      <c r="A50" s="2"/>
      <c r="B50" s="92" t="s">
        <v>327</v>
      </c>
      <c r="C50" s="94" t="s">
        <v>328</v>
      </c>
      <c r="D50" s="102">
        <v>1.0</v>
      </c>
      <c r="E50" s="116">
        <v>45000.0</v>
      </c>
      <c r="F50" s="26">
        <f t="shared" si="1"/>
        <v>45000</v>
      </c>
      <c r="G50" s="123">
        <v>1.5</v>
      </c>
      <c r="H50" s="106">
        <v>0.8</v>
      </c>
      <c r="I50" s="124">
        <f t="shared" si="2"/>
        <v>6.4</v>
      </c>
      <c r="J50" s="44">
        <f>C10</f>
        <v>25</v>
      </c>
      <c r="K50" s="125">
        <f t="shared" si="3"/>
        <v>240</v>
      </c>
      <c r="L50" s="125">
        <f>K50*C8</f>
        <v>264</v>
      </c>
      <c r="M50" s="26">
        <f>L50*C5</f>
        <v>792</v>
      </c>
      <c r="N50" s="95"/>
    </row>
    <row r="51">
      <c r="A51" s="7"/>
      <c r="B51" s="96" t="s">
        <v>515</v>
      </c>
      <c r="C51" s="98" t="s">
        <v>328</v>
      </c>
      <c r="D51" s="101">
        <v>1.0</v>
      </c>
      <c r="E51" s="126">
        <v>120000.0</v>
      </c>
      <c r="F51" s="20">
        <f t="shared" si="1"/>
        <v>120000</v>
      </c>
      <c r="G51" s="127">
        <v>0.0</v>
      </c>
      <c r="H51" s="131"/>
      <c r="I51" s="131"/>
      <c r="J51" s="131"/>
      <c r="K51" s="129">
        <v>0.0</v>
      </c>
      <c r="L51" s="56">
        <f>K51*C8</f>
        <v>0</v>
      </c>
      <c r="M51" s="20">
        <f>L51*C5</f>
        <v>0</v>
      </c>
      <c r="N51" s="99"/>
    </row>
    <row r="52">
      <c r="A52" s="2"/>
      <c r="B52" s="92" t="s">
        <v>516</v>
      </c>
      <c r="C52" s="94" t="s">
        <v>517</v>
      </c>
      <c r="D52" s="102">
        <v>1.0</v>
      </c>
      <c r="E52" s="116">
        <v>3800.0</v>
      </c>
      <c r="F52" s="26">
        <f t="shared" si="1"/>
        <v>3800</v>
      </c>
      <c r="G52" s="123">
        <v>0.1</v>
      </c>
      <c r="H52" s="106">
        <v>0.4</v>
      </c>
      <c r="I52" s="124">
        <f>H52*8</f>
        <v>3.2</v>
      </c>
      <c r="J52" s="44">
        <f>C10</f>
        <v>25</v>
      </c>
      <c r="K52" s="125">
        <f>G52*I52*J52*D52</f>
        <v>8</v>
      </c>
      <c r="L52" s="125">
        <f>K52*C8</f>
        <v>8.8</v>
      </c>
      <c r="M52" s="26">
        <f>L52*C5</f>
        <v>26.4</v>
      </c>
      <c r="N52" s="95"/>
    </row>
    <row r="53">
      <c r="A53" s="7"/>
      <c r="B53" s="96" t="s">
        <v>518</v>
      </c>
      <c r="C53" s="98" t="s">
        <v>337</v>
      </c>
      <c r="D53" s="101">
        <v>1.0</v>
      </c>
      <c r="E53" s="126">
        <v>35000.0</v>
      </c>
      <c r="F53" s="20">
        <f t="shared" si="1"/>
        <v>35000</v>
      </c>
      <c r="G53" s="127">
        <v>0.0</v>
      </c>
      <c r="H53" s="131"/>
      <c r="I53" s="131"/>
      <c r="J53" s="131"/>
      <c r="K53" s="129">
        <v>0.0</v>
      </c>
      <c r="L53" s="56">
        <f>K53*C8</f>
        <v>0</v>
      </c>
      <c r="M53" s="20">
        <f>L53*C5</f>
        <v>0</v>
      </c>
      <c r="N53" s="99" t="s">
        <v>519</v>
      </c>
    </row>
    <row r="54">
      <c r="A54" s="2"/>
      <c r="B54" s="92" t="s">
        <v>336</v>
      </c>
      <c r="C54" s="94" t="s">
        <v>337</v>
      </c>
      <c r="D54" s="102">
        <v>1.0</v>
      </c>
      <c r="E54" s="116">
        <v>25000.0</v>
      </c>
      <c r="F54" s="26">
        <f t="shared" si="1"/>
        <v>25000</v>
      </c>
      <c r="G54" s="123">
        <v>0.0</v>
      </c>
      <c r="H54" s="130"/>
      <c r="I54" s="130"/>
      <c r="J54" s="130"/>
      <c r="K54" s="44">
        <v>0.0</v>
      </c>
      <c r="L54" s="125">
        <f>K54*C8</f>
        <v>0</v>
      </c>
      <c r="M54" s="26">
        <f>L54*C5</f>
        <v>0</v>
      </c>
      <c r="N54" s="95"/>
    </row>
    <row r="55">
      <c r="A55" s="7"/>
      <c r="B55" s="163" t="s">
        <v>487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34">
        <f>18*I48*J48*C6</f>
        <v>43290</v>
      </c>
      <c r="N55" s="7"/>
    </row>
    <row r="56" ht="18.75" customHeight="1">
      <c r="A56" s="132"/>
      <c r="B56" s="133" t="s">
        <v>338</v>
      </c>
      <c r="C56" s="134"/>
      <c r="D56" s="134"/>
      <c r="E56" s="134"/>
      <c r="F56" s="135">
        <f>SUM(F48:F54)</f>
        <v>1708800</v>
      </c>
      <c r="G56" s="134"/>
      <c r="H56" s="134"/>
      <c r="I56" s="134"/>
      <c r="J56" s="134"/>
      <c r="K56" s="136">
        <f t="shared" ref="K56:L56" si="4">SUM(K48:K54)</f>
        <v>15028</v>
      </c>
      <c r="L56" s="136">
        <f t="shared" si="4"/>
        <v>16530.8</v>
      </c>
      <c r="M56" s="135">
        <f>SUM(M48:M54)+M55</f>
        <v>92882.4</v>
      </c>
      <c r="N56" s="134"/>
    </row>
    <row r="57">
      <c r="A57" s="7"/>
      <c r="B57" s="13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</row>
    <row r="58" ht="18.75" customHeight="1">
      <c r="A58" s="132"/>
      <c r="B58" s="194" t="s">
        <v>520</v>
      </c>
      <c r="C58" s="4"/>
      <c r="D58" s="4"/>
      <c r="E58" s="4"/>
      <c r="F58" s="5"/>
      <c r="G58" s="181"/>
      <c r="H58" s="181"/>
      <c r="I58" s="181"/>
      <c r="J58" s="181"/>
      <c r="K58" s="181"/>
      <c r="L58" s="181"/>
      <c r="M58" s="181"/>
      <c r="N58" s="181"/>
    </row>
    <row r="59">
      <c r="A59" s="7"/>
      <c r="B59" s="193" t="s">
        <v>340</v>
      </c>
      <c r="C59" s="187" t="s">
        <v>341</v>
      </c>
      <c r="D59" s="187"/>
      <c r="E59" s="187"/>
      <c r="F59" s="187"/>
      <c r="G59" s="16"/>
      <c r="H59" s="16"/>
      <c r="I59" s="16"/>
      <c r="J59" s="16"/>
      <c r="K59" s="16"/>
      <c r="L59" s="16"/>
      <c r="M59" s="16"/>
      <c r="N59" s="16"/>
    </row>
    <row r="60">
      <c r="A60" s="2"/>
      <c r="B60" s="92" t="s">
        <v>342</v>
      </c>
      <c r="C60" s="26">
        <f>F56</f>
        <v>1708800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>
      <c r="A61" s="7"/>
      <c r="B61" s="96" t="s">
        <v>343</v>
      </c>
      <c r="C61" s="126">
        <v>350000.0</v>
      </c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</row>
    <row r="62">
      <c r="A62" s="2"/>
      <c r="B62" s="92" t="s">
        <v>344</v>
      </c>
      <c r="C62" s="116">
        <v>95000.0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>
      <c r="A63" s="7"/>
      <c r="B63" s="96" t="s">
        <v>345</v>
      </c>
      <c r="C63" s="20">
        <f>(C80-C68)*2</f>
        <v>1711204.527</v>
      </c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</row>
    <row r="64" ht="18.75" customHeight="1">
      <c r="A64" s="132"/>
      <c r="B64" s="133" t="s">
        <v>346</v>
      </c>
      <c r="C64" s="135">
        <f>SUM(C60:C63)</f>
        <v>3865004.527</v>
      </c>
      <c r="D64" s="132"/>
      <c r="E64" s="132"/>
      <c r="F64" s="132"/>
      <c r="G64" s="132"/>
      <c r="H64" s="132"/>
      <c r="I64" s="132"/>
      <c r="J64" s="132"/>
      <c r="K64" s="132"/>
      <c r="L64" s="132"/>
      <c r="M64" s="132"/>
      <c r="N64" s="132"/>
    </row>
    <row r="65">
      <c r="A65" s="7"/>
      <c r="B65" s="13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</row>
    <row r="66">
      <c r="A66" s="2"/>
      <c r="B66" s="120" t="s">
        <v>521</v>
      </c>
      <c r="C66" s="4"/>
      <c r="D66" s="4"/>
      <c r="E66" s="4"/>
      <c r="F66" s="5"/>
      <c r="G66" s="183"/>
      <c r="H66" s="183"/>
      <c r="I66" s="183"/>
      <c r="J66" s="183"/>
      <c r="K66" s="183"/>
      <c r="L66" s="183"/>
      <c r="M66" s="183"/>
      <c r="N66" s="183"/>
    </row>
    <row r="67">
      <c r="A67" s="7"/>
      <c r="B67" s="193" t="s">
        <v>340</v>
      </c>
      <c r="C67" s="187" t="s">
        <v>299</v>
      </c>
      <c r="D67" s="187"/>
      <c r="E67" s="187"/>
      <c r="F67" s="187"/>
      <c r="G67" s="16"/>
      <c r="H67" s="16"/>
      <c r="I67" s="16"/>
      <c r="J67" s="16"/>
      <c r="K67" s="16"/>
      <c r="L67" s="16"/>
      <c r="M67" s="16"/>
      <c r="N67" s="16"/>
    </row>
    <row r="68">
      <c r="A68" s="2"/>
      <c r="B68" s="114" t="s">
        <v>522</v>
      </c>
      <c r="C68" s="26">
        <f>C34*C36*(1-C11)*C40*1000</f>
        <v>3106869.696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>
      <c r="A69" s="7"/>
      <c r="B69" s="96" t="s">
        <v>352</v>
      </c>
      <c r="C69" s="20">
        <f>C41*C12</f>
        <v>16250</v>
      </c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</row>
    <row r="70">
      <c r="A70" s="2"/>
      <c r="B70" s="92" t="s">
        <v>353</v>
      </c>
      <c r="C70" s="26">
        <f>M56</f>
        <v>92882.4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>
      <c r="A71" s="7"/>
      <c r="B71" s="96" t="s">
        <v>491</v>
      </c>
      <c r="C71" s="20">
        <f>M55</f>
        <v>43290</v>
      </c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</row>
    <row r="72">
      <c r="A72" s="2"/>
      <c r="B72" s="92" t="s">
        <v>354</v>
      </c>
      <c r="C72" s="26">
        <f>C42</f>
        <v>107325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>
      <c r="A73" s="7"/>
      <c r="B73" s="96" t="s">
        <v>355</v>
      </c>
      <c r="C73" s="126">
        <f>$C$44</f>
        <v>12000</v>
      </c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</row>
    <row r="74">
      <c r="A74" s="2"/>
      <c r="B74" s="114" t="s">
        <v>356</v>
      </c>
      <c r="C74" s="26">
        <f>C60*0.025/12</f>
        <v>3560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>
      <c r="A75" s="7"/>
      <c r="B75" s="96" t="s">
        <v>357</v>
      </c>
      <c r="C75" s="20">
        <f>E94*0.03</f>
        <v>144068.2226</v>
      </c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</row>
    <row r="76">
      <c r="A76" s="2"/>
      <c r="B76" s="92" t="s">
        <v>358</v>
      </c>
      <c r="C76" s="116">
        <f>$C$45</f>
        <v>3500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>
      <c r="A77" s="7"/>
      <c r="B77" s="96" t="s">
        <v>359</v>
      </c>
      <c r="C77" s="20">
        <f>(C60+C61)*0.005/12</f>
        <v>857.8333333</v>
      </c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</row>
    <row r="78">
      <c r="A78" s="23"/>
      <c r="B78" s="145" t="s">
        <v>360</v>
      </c>
      <c r="C78" s="22">
        <f>E92*8/100</f>
        <v>426868.8077</v>
      </c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</row>
    <row r="79">
      <c r="A79" s="35"/>
      <c r="B79" s="144" t="s">
        <v>361</v>
      </c>
      <c r="C79" s="195">
        <v>5000.0</v>
      </c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</row>
    <row r="80" ht="18.75" customHeight="1">
      <c r="A80" s="132"/>
      <c r="B80" s="133" t="s">
        <v>362</v>
      </c>
      <c r="C80" s="135">
        <f>SUM(C68:C79)</f>
        <v>3962471.96</v>
      </c>
      <c r="D80" s="132"/>
      <c r="E80" s="132"/>
      <c r="F80" s="132"/>
      <c r="G80" s="132"/>
      <c r="H80" s="132"/>
      <c r="I80" s="132"/>
      <c r="J80" s="132"/>
      <c r="K80" s="132"/>
      <c r="L80" s="132"/>
      <c r="M80" s="132"/>
      <c r="N80" s="132"/>
    </row>
    <row r="81">
      <c r="A81" s="7"/>
      <c r="B81" s="149" t="s">
        <v>523</v>
      </c>
      <c r="I81" s="7"/>
      <c r="J81" s="7"/>
      <c r="K81" s="7"/>
      <c r="L81" s="7"/>
      <c r="M81" s="7"/>
      <c r="N81" s="7"/>
    </row>
    <row r="82">
      <c r="A82" s="2"/>
      <c r="B82" s="11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>
      <c r="A83" s="164"/>
      <c r="B83" s="165" t="s">
        <v>524</v>
      </c>
      <c r="C83" s="4"/>
      <c r="D83" s="4"/>
      <c r="E83" s="4"/>
      <c r="F83" s="4"/>
      <c r="G83" s="4"/>
      <c r="H83" s="5"/>
      <c r="I83" s="190"/>
      <c r="J83" s="190"/>
      <c r="K83" s="190"/>
      <c r="L83" s="190"/>
      <c r="M83" s="190"/>
      <c r="N83" s="190"/>
      <c r="O83" s="164"/>
      <c r="P83" s="164"/>
      <c r="Q83" s="164"/>
      <c r="R83" s="164"/>
      <c r="S83" s="164"/>
      <c r="T83" s="164"/>
      <c r="U83" s="164"/>
      <c r="V83" s="164"/>
      <c r="W83" s="164"/>
      <c r="X83" s="164"/>
      <c r="Y83" s="164"/>
      <c r="Z83" s="164"/>
    </row>
    <row r="84">
      <c r="A84" s="164"/>
      <c r="B84" s="178" t="s">
        <v>340</v>
      </c>
      <c r="C84" s="179" t="s">
        <v>235</v>
      </c>
      <c r="D84" s="179" t="s">
        <v>349</v>
      </c>
      <c r="E84" s="179" t="s">
        <v>365</v>
      </c>
      <c r="F84" s="179" t="s">
        <v>350</v>
      </c>
      <c r="G84" s="179"/>
      <c r="H84" s="179"/>
      <c r="I84" s="185"/>
      <c r="J84" s="185"/>
      <c r="K84" s="185"/>
      <c r="L84" s="185"/>
      <c r="M84" s="185"/>
      <c r="N84" s="185"/>
      <c r="O84" s="164"/>
      <c r="P84" s="164"/>
      <c r="Q84" s="164"/>
      <c r="R84" s="164"/>
      <c r="S84" s="164"/>
      <c r="T84" s="164"/>
      <c r="U84" s="164"/>
      <c r="V84" s="164"/>
      <c r="W84" s="164"/>
      <c r="X84" s="164"/>
      <c r="Y84" s="164"/>
      <c r="Z84" s="164"/>
    </row>
    <row r="85">
      <c r="A85" s="7"/>
      <c r="B85" s="96" t="s">
        <v>282</v>
      </c>
      <c r="C85" s="98" t="s">
        <v>283</v>
      </c>
      <c r="D85" s="129">
        <f>C34*C35</f>
        <v>171.4608</v>
      </c>
      <c r="E85" s="129">
        <f>C34*C36</f>
        <v>228.6144</v>
      </c>
      <c r="F85" s="129">
        <f>C34*C37</f>
        <v>457.2288</v>
      </c>
      <c r="G85" s="7"/>
      <c r="H85" s="7"/>
      <c r="I85" s="7"/>
      <c r="J85" s="7"/>
      <c r="K85" s="7"/>
      <c r="L85" s="7"/>
      <c r="M85" s="7"/>
      <c r="N85" s="7"/>
    </row>
    <row r="86">
      <c r="A86" s="2"/>
      <c r="B86" s="92" t="s">
        <v>367</v>
      </c>
      <c r="C86" s="94" t="s">
        <v>283</v>
      </c>
      <c r="D86" s="125">
        <f>D85*C35</f>
        <v>51.43824</v>
      </c>
      <c r="E86" s="125">
        <f>E85*C36</f>
        <v>91.44576</v>
      </c>
      <c r="F86" s="125">
        <f>F85*C37</f>
        <v>365.78304</v>
      </c>
      <c r="G86" s="2"/>
      <c r="H86" s="150" t="s">
        <v>525</v>
      </c>
      <c r="L86" s="2"/>
      <c r="M86" s="2"/>
      <c r="N86" s="2"/>
    </row>
    <row r="87">
      <c r="A87" s="7"/>
      <c r="B87" s="96" t="s">
        <v>369</v>
      </c>
      <c r="C87" s="98" t="s">
        <v>243</v>
      </c>
      <c r="D87" s="151">
        <f>C39</f>
        <v>42</v>
      </c>
      <c r="E87" s="151">
        <f>C39</f>
        <v>42</v>
      </c>
      <c r="F87" s="151">
        <f>C39</f>
        <v>42</v>
      </c>
      <c r="G87" s="7"/>
      <c r="L87" s="7"/>
      <c r="M87" s="7"/>
      <c r="N87" s="7"/>
    </row>
    <row r="88">
      <c r="A88" s="2"/>
      <c r="B88" s="152" t="s">
        <v>370</v>
      </c>
      <c r="C88" s="94" t="s">
        <v>299</v>
      </c>
      <c r="D88" s="22">
        <f>D86*1000*C38*D87</f>
        <v>1836345.168</v>
      </c>
      <c r="E88" s="22">
        <f>E86*1000*C38*E87</f>
        <v>3264613.632</v>
      </c>
      <c r="F88" s="22">
        <f>F86*1000*C38*F87</f>
        <v>13058454.53</v>
      </c>
      <c r="G88" s="2"/>
      <c r="L88" s="2"/>
      <c r="M88" s="2"/>
      <c r="N88" s="2"/>
    </row>
    <row r="89">
      <c r="A89" s="7"/>
      <c r="B89" s="96" t="s">
        <v>371</v>
      </c>
      <c r="C89" s="98" t="s">
        <v>283</v>
      </c>
      <c r="D89" s="56">
        <f>D85*(1-C35)</f>
        <v>120.02256</v>
      </c>
      <c r="E89" s="56">
        <f>E85*(1-C36)</f>
        <v>137.16864</v>
      </c>
      <c r="F89" s="56">
        <f>F85*(1-C37)</f>
        <v>91.44576</v>
      </c>
      <c r="G89" s="7"/>
      <c r="L89" s="7"/>
      <c r="M89" s="7"/>
      <c r="N89" s="7"/>
    </row>
    <row r="90">
      <c r="A90" s="2"/>
      <c r="B90" s="92" t="s">
        <v>372</v>
      </c>
      <c r="C90" s="94" t="s">
        <v>243</v>
      </c>
      <c r="D90" s="153">
        <f>C40</f>
        <v>15.1</v>
      </c>
      <c r="E90" s="153">
        <f>C40</f>
        <v>15.1</v>
      </c>
      <c r="F90" s="153">
        <f>C40</f>
        <v>15.1</v>
      </c>
      <c r="G90" s="2"/>
      <c r="L90" s="2"/>
      <c r="M90" s="2"/>
      <c r="N90" s="2"/>
    </row>
    <row r="91">
      <c r="A91" s="7"/>
      <c r="B91" s="96" t="s">
        <v>373</v>
      </c>
      <c r="C91" s="98" t="s">
        <v>299</v>
      </c>
      <c r="D91" s="20">
        <f t="shared" ref="D91:F91" si="5">D89*1000*D90</f>
        <v>1812340.656</v>
      </c>
      <c r="E91" s="20">
        <f t="shared" si="5"/>
        <v>2071246.464</v>
      </c>
      <c r="F91" s="20">
        <f t="shared" si="5"/>
        <v>1380830.976</v>
      </c>
      <c r="G91" s="7"/>
      <c r="L91" s="7"/>
      <c r="M91" s="7"/>
      <c r="N91" s="7"/>
    </row>
    <row r="92" ht="18.75" customHeight="1">
      <c r="A92" s="132"/>
      <c r="B92" s="133" t="s">
        <v>374</v>
      </c>
      <c r="C92" s="154" t="s">
        <v>299</v>
      </c>
      <c r="D92" s="135">
        <f t="shared" ref="D92:F92" si="6">D88+D91</f>
        <v>3648685.824</v>
      </c>
      <c r="E92" s="135">
        <f t="shared" si="6"/>
        <v>5335860.096</v>
      </c>
      <c r="F92" s="135">
        <f t="shared" si="6"/>
        <v>14439285.5</v>
      </c>
      <c r="G92" s="132"/>
      <c r="H92" s="132"/>
      <c r="I92" s="132"/>
      <c r="J92" s="132"/>
      <c r="K92" s="132"/>
      <c r="L92" s="132"/>
      <c r="M92" s="132"/>
      <c r="N92" s="132"/>
    </row>
    <row r="93">
      <c r="A93" s="7"/>
      <c r="B93" s="96" t="s">
        <v>375</v>
      </c>
      <c r="C93" s="98" t="s">
        <v>299</v>
      </c>
      <c r="D93" s="20">
        <f>-D92*C11</f>
        <v>-364868.5824</v>
      </c>
      <c r="E93" s="20">
        <f>-E92*C11</f>
        <v>-533586.0096</v>
      </c>
      <c r="F93" s="20">
        <f>-F92*C11</f>
        <v>-1443928.55</v>
      </c>
      <c r="G93" s="7"/>
      <c r="H93" s="7"/>
      <c r="I93" s="7"/>
      <c r="J93" s="7"/>
      <c r="K93" s="7"/>
      <c r="L93" s="7"/>
      <c r="M93" s="7"/>
      <c r="N93" s="7"/>
    </row>
    <row r="94" ht="18.75" customHeight="1">
      <c r="A94" s="132"/>
      <c r="B94" s="133" t="s">
        <v>376</v>
      </c>
      <c r="C94" s="154" t="s">
        <v>299</v>
      </c>
      <c r="D94" s="135">
        <f t="shared" ref="D94:F94" si="7">D92+D93</f>
        <v>3283817.242</v>
      </c>
      <c r="E94" s="135">
        <f t="shared" si="7"/>
        <v>4802274.086</v>
      </c>
      <c r="F94" s="135">
        <f t="shared" si="7"/>
        <v>12995356.95</v>
      </c>
      <c r="G94" s="132"/>
      <c r="H94" s="132"/>
      <c r="I94" s="132"/>
      <c r="J94" s="132"/>
      <c r="K94" s="132"/>
      <c r="L94" s="132"/>
      <c r="M94" s="132"/>
      <c r="N94" s="132"/>
    </row>
    <row r="95">
      <c r="A95" s="7"/>
      <c r="B95" s="149" t="s">
        <v>377</v>
      </c>
      <c r="I95" s="7"/>
      <c r="J95" s="7"/>
      <c r="K95" s="7"/>
      <c r="L95" s="7"/>
      <c r="M95" s="7"/>
      <c r="N95" s="7"/>
    </row>
    <row r="96">
      <c r="A96" s="2"/>
      <c r="B96" s="11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>
      <c r="A97" s="164"/>
      <c r="B97" s="165" t="s">
        <v>526</v>
      </c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5"/>
      <c r="O97" s="164"/>
      <c r="P97" s="164"/>
      <c r="Q97" s="164"/>
      <c r="R97" s="164"/>
      <c r="S97" s="164"/>
      <c r="T97" s="164"/>
      <c r="U97" s="164"/>
      <c r="V97" s="164"/>
      <c r="W97" s="164"/>
      <c r="X97" s="164"/>
      <c r="Y97" s="164"/>
      <c r="Z97" s="164"/>
    </row>
    <row r="98">
      <c r="A98" s="164"/>
      <c r="B98" s="165" t="s">
        <v>379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5"/>
      <c r="O98" s="164"/>
      <c r="P98" s="164"/>
      <c r="Q98" s="164"/>
      <c r="R98" s="164"/>
      <c r="S98" s="164"/>
      <c r="T98" s="164"/>
      <c r="U98" s="164"/>
      <c r="V98" s="164"/>
      <c r="W98" s="164"/>
      <c r="X98" s="164"/>
      <c r="Y98" s="164"/>
      <c r="Z98" s="164"/>
    </row>
    <row r="99">
      <c r="A99" s="164"/>
      <c r="B99" s="178" t="s">
        <v>340</v>
      </c>
      <c r="C99" s="179" t="s">
        <v>380</v>
      </c>
      <c r="D99" s="179" t="s">
        <v>381</v>
      </c>
      <c r="E99" s="179" t="s">
        <v>382</v>
      </c>
      <c r="F99" s="179" t="s">
        <v>383</v>
      </c>
      <c r="G99" s="179" t="s">
        <v>384</v>
      </c>
      <c r="H99" s="179" t="s">
        <v>385</v>
      </c>
      <c r="I99" s="179" t="s">
        <v>386</v>
      </c>
      <c r="J99" s="179" t="s">
        <v>387</v>
      </c>
      <c r="K99" s="179" t="s">
        <v>388</v>
      </c>
      <c r="L99" s="179" t="s">
        <v>389</v>
      </c>
      <c r="M99" s="185"/>
      <c r="N99" s="185"/>
      <c r="O99" s="164"/>
      <c r="P99" s="164"/>
      <c r="Q99" s="164"/>
      <c r="R99" s="164"/>
      <c r="S99" s="164"/>
      <c r="T99" s="164"/>
      <c r="U99" s="164"/>
      <c r="V99" s="164"/>
      <c r="W99" s="164"/>
      <c r="X99" s="164"/>
      <c r="Y99" s="164"/>
      <c r="Z99" s="164"/>
    </row>
    <row r="100">
      <c r="A100" s="2"/>
      <c r="B100" s="92" t="s">
        <v>390</v>
      </c>
      <c r="C100" s="26">
        <f>D92*12*C22</f>
        <v>21892114.94</v>
      </c>
      <c r="D100" s="26">
        <f>D92*12*C23</f>
        <v>32838172.42</v>
      </c>
      <c r="E100" s="26">
        <f>D92*12*C24</f>
        <v>43784229.89</v>
      </c>
      <c r="F100" s="26">
        <f>D92*12*C24</f>
        <v>43784229.89</v>
      </c>
      <c r="G100" s="26">
        <f>D92*12*C24</f>
        <v>43784229.89</v>
      </c>
      <c r="H100" s="26">
        <f>D92*12*C24</f>
        <v>43784229.89</v>
      </c>
      <c r="I100" s="26">
        <f>D92*12*C24</f>
        <v>43784229.89</v>
      </c>
      <c r="J100" s="26">
        <f>D92*12*C24</f>
        <v>43784229.89</v>
      </c>
      <c r="K100" s="26">
        <f>D92*12*C24</f>
        <v>43784229.89</v>
      </c>
      <c r="L100" s="26">
        <f>D92*12*C24</f>
        <v>43784229.89</v>
      </c>
      <c r="M100" s="2"/>
      <c r="N100" s="2"/>
    </row>
    <row r="101">
      <c r="A101" s="7"/>
      <c r="B101" s="96" t="s">
        <v>375</v>
      </c>
      <c r="C101" s="20">
        <f>-C100*C11</f>
        <v>-2189211.494</v>
      </c>
      <c r="D101" s="20">
        <f>-D100*C11</f>
        <v>-3283817.242</v>
      </c>
      <c r="E101" s="20">
        <f>-E100*C11</f>
        <v>-4378422.989</v>
      </c>
      <c r="F101" s="20">
        <f>-F100*C11</f>
        <v>-4378422.989</v>
      </c>
      <c r="G101" s="20">
        <f>-G100*C11</f>
        <v>-4378422.989</v>
      </c>
      <c r="H101" s="20">
        <f>-H100*C11</f>
        <v>-4378422.989</v>
      </c>
      <c r="I101" s="20">
        <f>-I100*C11</f>
        <v>-4378422.989</v>
      </c>
      <c r="J101" s="20">
        <f>-J100*C11</f>
        <v>-4378422.989</v>
      </c>
      <c r="K101" s="20">
        <f>-K100*C11</f>
        <v>-4378422.989</v>
      </c>
      <c r="L101" s="20">
        <f>-L100*C11</f>
        <v>-4378422.989</v>
      </c>
      <c r="M101" s="7"/>
      <c r="N101" s="7"/>
    </row>
    <row r="102">
      <c r="A102" s="2"/>
      <c r="B102" s="152" t="s">
        <v>391</v>
      </c>
      <c r="C102" s="22">
        <f t="shared" ref="C102:L102" si="8">C100+C101</f>
        <v>19702903.45</v>
      </c>
      <c r="D102" s="22">
        <f t="shared" si="8"/>
        <v>29554355.17</v>
      </c>
      <c r="E102" s="22">
        <f t="shared" si="8"/>
        <v>39405806.9</v>
      </c>
      <c r="F102" s="22">
        <f t="shared" si="8"/>
        <v>39405806.9</v>
      </c>
      <c r="G102" s="22">
        <f t="shared" si="8"/>
        <v>39405806.9</v>
      </c>
      <c r="H102" s="22">
        <f t="shared" si="8"/>
        <v>39405806.9</v>
      </c>
      <c r="I102" s="22">
        <f t="shared" si="8"/>
        <v>39405806.9</v>
      </c>
      <c r="J102" s="22">
        <f t="shared" si="8"/>
        <v>39405806.9</v>
      </c>
      <c r="K102" s="22">
        <f t="shared" si="8"/>
        <v>39405806.9</v>
      </c>
      <c r="L102" s="22">
        <f t="shared" si="8"/>
        <v>39405806.9</v>
      </c>
      <c r="M102" s="23"/>
      <c r="N102" s="23"/>
    </row>
    <row r="103">
      <c r="A103" s="7"/>
      <c r="B103" s="96" t="s">
        <v>392</v>
      </c>
      <c r="C103" s="20">
        <f>-C80*12*C22</f>
        <v>-23774831.76</v>
      </c>
      <c r="D103" s="20">
        <f>-C80*12*C23</f>
        <v>-35662247.64</v>
      </c>
      <c r="E103" s="20">
        <f>-C80*12*C24</f>
        <v>-47549663.52</v>
      </c>
      <c r="F103" s="20">
        <f>-C80*12*C24</f>
        <v>-47549663.52</v>
      </c>
      <c r="G103" s="20">
        <f>-C80*12*C24</f>
        <v>-47549663.52</v>
      </c>
      <c r="H103" s="20">
        <f>-C80*12*C24</f>
        <v>-47549663.52</v>
      </c>
      <c r="I103" s="20">
        <f>-C80*12*C24</f>
        <v>-47549663.52</v>
      </c>
      <c r="J103" s="20">
        <f>-C80*12*C24</f>
        <v>-47549663.52</v>
      </c>
      <c r="K103" s="20">
        <f>-C80*12*C24</f>
        <v>-47549663.52</v>
      </c>
      <c r="L103" s="20">
        <f>-C80*12*C24</f>
        <v>-47549663.52</v>
      </c>
      <c r="M103" s="7"/>
      <c r="N103" s="7"/>
    </row>
    <row r="104" ht="18.75" customHeight="1">
      <c r="A104" s="160"/>
      <c r="B104" s="161" t="s">
        <v>393</v>
      </c>
      <c r="C104" s="162">
        <f t="shared" ref="C104:L104" si="9">C102+C103</f>
        <v>-4071928.308</v>
      </c>
      <c r="D104" s="162">
        <f t="shared" si="9"/>
        <v>-6107892.462</v>
      </c>
      <c r="E104" s="162">
        <f t="shared" si="9"/>
        <v>-8143856.616</v>
      </c>
      <c r="F104" s="162">
        <f t="shared" si="9"/>
        <v>-8143856.616</v>
      </c>
      <c r="G104" s="162">
        <f t="shared" si="9"/>
        <v>-8143856.616</v>
      </c>
      <c r="H104" s="162">
        <f t="shared" si="9"/>
        <v>-8143856.616</v>
      </c>
      <c r="I104" s="162">
        <f t="shared" si="9"/>
        <v>-8143856.616</v>
      </c>
      <c r="J104" s="162">
        <f t="shared" si="9"/>
        <v>-8143856.616</v>
      </c>
      <c r="K104" s="162">
        <f t="shared" si="9"/>
        <v>-8143856.616</v>
      </c>
      <c r="L104" s="162">
        <f t="shared" si="9"/>
        <v>-8143856.616</v>
      </c>
      <c r="M104" s="160"/>
      <c r="N104" s="160"/>
    </row>
    <row r="105">
      <c r="A105" s="7"/>
      <c r="B105" s="96" t="s">
        <v>394</v>
      </c>
      <c r="C105" s="24">
        <f t="shared" ref="C105:L105" si="10">IF(C102=0,0,C104/C102)</f>
        <v>-0.2066664093</v>
      </c>
      <c r="D105" s="24">
        <f t="shared" si="10"/>
        <v>-0.2066664093</v>
      </c>
      <c r="E105" s="24">
        <f t="shared" si="10"/>
        <v>-0.2066664093</v>
      </c>
      <c r="F105" s="24">
        <f t="shared" si="10"/>
        <v>-0.2066664093</v>
      </c>
      <c r="G105" s="24">
        <f t="shared" si="10"/>
        <v>-0.2066664093</v>
      </c>
      <c r="H105" s="24">
        <f t="shared" si="10"/>
        <v>-0.2066664093</v>
      </c>
      <c r="I105" s="24">
        <f t="shared" si="10"/>
        <v>-0.2066664093</v>
      </c>
      <c r="J105" s="24">
        <f t="shared" si="10"/>
        <v>-0.2066664093</v>
      </c>
      <c r="K105" s="24">
        <f t="shared" si="10"/>
        <v>-0.2066664093</v>
      </c>
      <c r="L105" s="24">
        <f t="shared" si="10"/>
        <v>-0.2066664093</v>
      </c>
      <c r="M105" s="7"/>
      <c r="N105" s="7"/>
    </row>
    <row r="106">
      <c r="A106" s="2"/>
      <c r="B106" s="92" t="s">
        <v>395</v>
      </c>
      <c r="C106" s="26">
        <f>-(C60/C18+C61/20)</f>
        <v>-188380</v>
      </c>
      <c r="D106" s="26">
        <f>-(C60/C18+C61/20)</f>
        <v>-188380</v>
      </c>
      <c r="E106" s="26">
        <f>-(C60/C18+C61/20)</f>
        <v>-188380</v>
      </c>
      <c r="F106" s="26">
        <f>-(C60/C18+C61/20)</f>
        <v>-188380</v>
      </c>
      <c r="G106" s="26">
        <f>-(C60/C18+C61/20)</f>
        <v>-188380</v>
      </c>
      <c r="H106" s="26">
        <f>-(C60/C18+C61/20)</f>
        <v>-188380</v>
      </c>
      <c r="I106" s="26">
        <f>-(C60/C18+C61/20)</f>
        <v>-188380</v>
      </c>
      <c r="J106" s="26">
        <f>-(C60/C18+C61/20)</f>
        <v>-188380</v>
      </c>
      <c r="K106" s="26">
        <f>-(C60/C18+C61/20)</f>
        <v>-188380</v>
      </c>
      <c r="L106" s="26">
        <f>-(C60/C18+C61/20)</f>
        <v>-188380</v>
      </c>
      <c r="M106" s="2"/>
      <c r="N106" s="2"/>
    </row>
    <row r="107">
      <c r="A107" s="7"/>
      <c r="B107" s="163" t="s">
        <v>396</v>
      </c>
      <c r="C107" s="34">
        <f t="shared" ref="C107:L107" si="11">C104+C106</f>
        <v>-4260308.308</v>
      </c>
      <c r="D107" s="34">
        <f t="shared" si="11"/>
        <v>-6296272.462</v>
      </c>
      <c r="E107" s="34">
        <f t="shared" si="11"/>
        <v>-8332236.616</v>
      </c>
      <c r="F107" s="34">
        <f t="shared" si="11"/>
        <v>-8332236.616</v>
      </c>
      <c r="G107" s="34">
        <f t="shared" si="11"/>
        <v>-8332236.616</v>
      </c>
      <c r="H107" s="34">
        <f t="shared" si="11"/>
        <v>-8332236.616</v>
      </c>
      <c r="I107" s="34">
        <f t="shared" si="11"/>
        <v>-8332236.616</v>
      </c>
      <c r="J107" s="34">
        <f t="shared" si="11"/>
        <v>-8332236.616</v>
      </c>
      <c r="K107" s="34">
        <f t="shared" si="11"/>
        <v>-8332236.616</v>
      </c>
      <c r="L107" s="34">
        <f t="shared" si="11"/>
        <v>-8332236.616</v>
      </c>
      <c r="M107" s="35"/>
      <c r="N107" s="35"/>
    </row>
    <row r="108">
      <c r="A108" s="2"/>
      <c r="B108" s="92" t="s">
        <v>397</v>
      </c>
      <c r="C108" s="26">
        <f t="shared" ref="C108:L108" si="12">-D168</f>
        <v>-313065.3667</v>
      </c>
      <c r="D108" s="26">
        <f t="shared" si="12"/>
        <v>-260887.8056</v>
      </c>
      <c r="E108" s="26">
        <f t="shared" si="12"/>
        <v>-208710.2445</v>
      </c>
      <c r="F108" s="26">
        <f t="shared" si="12"/>
        <v>-156532.6834</v>
      </c>
      <c r="G108" s="26">
        <f t="shared" si="12"/>
        <v>-104355.1222</v>
      </c>
      <c r="H108" s="26">
        <f t="shared" si="12"/>
        <v>-52177.56112</v>
      </c>
      <c r="I108" s="26">
        <f t="shared" si="12"/>
        <v>0</v>
      </c>
      <c r="J108" s="26">
        <f t="shared" si="12"/>
        <v>0</v>
      </c>
      <c r="K108" s="26">
        <f t="shared" si="12"/>
        <v>0</v>
      </c>
      <c r="L108" s="26">
        <f t="shared" si="12"/>
        <v>0</v>
      </c>
      <c r="M108" s="2"/>
      <c r="N108" s="2"/>
    </row>
    <row r="109">
      <c r="A109" s="7"/>
      <c r="B109" s="96" t="s">
        <v>398</v>
      </c>
      <c r="C109" s="20">
        <f t="shared" ref="C109:L109" si="13">C107+C108</f>
        <v>-4573373.675</v>
      </c>
      <c r="D109" s="20">
        <f t="shared" si="13"/>
        <v>-6557160.268</v>
      </c>
      <c r="E109" s="20">
        <f t="shared" si="13"/>
        <v>-8540946.861</v>
      </c>
      <c r="F109" s="20">
        <f t="shared" si="13"/>
        <v>-8488769.299</v>
      </c>
      <c r="G109" s="20">
        <f t="shared" si="13"/>
        <v>-8436591.738</v>
      </c>
      <c r="H109" s="20">
        <f t="shared" si="13"/>
        <v>-8384414.177</v>
      </c>
      <c r="I109" s="20">
        <f t="shared" si="13"/>
        <v>-8332236.616</v>
      </c>
      <c r="J109" s="20">
        <f t="shared" si="13"/>
        <v>-8332236.616</v>
      </c>
      <c r="K109" s="20">
        <f t="shared" si="13"/>
        <v>-8332236.616</v>
      </c>
      <c r="L109" s="20">
        <f t="shared" si="13"/>
        <v>-8332236.616</v>
      </c>
      <c r="M109" s="7"/>
      <c r="N109" s="7"/>
    </row>
    <row r="110">
      <c r="A110" s="2"/>
      <c r="B110" s="92" t="s">
        <v>399</v>
      </c>
      <c r="C110" s="26">
        <f>-MAX(0,C109)*C15</f>
        <v>0</v>
      </c>
      <c r="D110" s="26">
        <f>-MAX(0,D109)*C15</f>
        <v>0</v>
      </c>
      <c r="E110" s="26">
        <f>-MAX(0,E109)*C15</f>
        <v>0</v>
      </c>
      <c r="F110" s="26">
        <f>-MAX(0,F109)*C15</f>
        <v>0</v>
      </c>
      <c r="G110" s="26">
        <f>-MAX(0,G109)*C15</f>
        <v>0</v>
      </c>
      <c r="H110" s="26">
        <f>-MAX(0,H109)*C15</f>
        <v>0</v>
      </c>
      <c r="I110" s="26">
        <f>-MAX(0,I109)*C15</f>
        <v>0</v>
      </c>
      <c r="J110" s="26">
        <f>-MAX(0,J109)*C15</f>
        <v>0</v>
      </c>
      <c r="K110" s="26">
        <f>-MAX(0,K109)*C15</f>
        <v>0</v>
      </c>
      <c r="L110" s="26">
        <f>-MAX(0,L109)*C15</f>
        <v>0</v>
      </c>
      <c r="M110" s="2"/>
      <c r="N110" s="2"/>
    </row>
    <row r="111">
      <c r="A111" s="7"/>
      <c r="B111" s="96" t="s">
        <v>400</v>
      </c>
      <c r="C111" s="20">
        <f>-MAX(0,C109)*C16</f>
        <v>0</v>
      </c>
      <c r="D111" s="20">
        <f>-MAX(0,D109)*C16</f>
        <v>0</v>
      </c>
      <c r="E111" s="20">
        <f>-MAX(0,E109)*C16</f>
        <v>0</v>
      </c>
      <c r="F111" s="20">
        <f>-MAX(0,F109)*C16</f>
        <v>0</v>
      </c>
      <c r="G111" s="20">
        <f>-MAX(0,G109)*C16</f>
        <v>0</v>
      </c>
      <c r="H111" s="20">
        <f>-MAX(0,H109)*C16</f>
        <v>0</v>
      </c>
      <c r="I111" s="20">
        <f>-MAX(0,I109)*C16</f>
        <v>0</v>
      </c>
      <c r="J111" s="20">
        <f>-MAX(0,J109)*C16</f>
        <v>0</v>
      </c>
      <c r="K111" s="20">
        <f>-MAX(0,K109)*C16</f>
        <v>0</v>
      </c>
      <c r="L111" s="20">
        <f>-MAX(0,L109)*C16</f>
        <v>0</v>
      </c>
      <c r="M111" s="7"/>
      <c r="N111" s="7"/>
    </row>
    <row r="112" ht="18.75" customHeight="1">
      <c r="A112" s="160"/>
      <c r="B112" s="161" t="s">
        <v>401</v>
      </c>
      <c r="C112" s="162">
        <f t="shared" ref="C112:L112" si="14">C109+C110+C111</f>
        <v>-4573373.675</v>
      </c>
      <c r="D112" s="162">
        <f t="shared" si="14"/>
        <v>-6557160.268</v>
      </c>
      <c r="E112" s="162">
        <f t="shared" si="14"/>
        <v>-8540946.861</v>
      </c>
      <c r="F112" s="162">
        <f t="shared" si="14"/>
        <v>-8488769.299</v>
      </c>
      <c r="G112" s="162">
        <f t="shared" si="14"/>
        <v>-8436591.738</v>
      </c>
      <c r="H112" s="162">
        <f t="shared" si="14"/>
        <v>-8384414.177</v>
      </c>
      <c r="I112" s="162">
        <f t="shared" si="14"/>
        <v>-8332236.616</v>
      </c>
      <c r="J112" s="162">
        <f t="shared" si="14"/>
        <v>-8332236.616</v>
      </c>
      <c r="K112" s="162">
        <f t="shared" si="14"/>
        <v>-8332236.616</v>
      </c>
      <c r="L112" s="162">
        <f t="shared" si="14"/>
        <v>-8332236.616</v>
      </c>
      <c r="M112" s="160"/>
      <c r="N112" s="160"/>
    </row>
    <row r="113">
      <c r="A113" s="7"/>
      <c r="B113" s="96" t="s">
        <v>402</v>
      </c>
      <c r="C113" s="20">
        <f>-MAX(0,C112)*C17</f>
        <v>0</v>
      </c>
      <c r="D113" s="20">
        <f>-MAX(0,D112)*C17</f>
        <v>0</v>
      </c>
      <c r="E113" s="20">
        <f>-MAX(0,E112)*C17</f>
        <v>0</v>
      </c>
      <c r="F113" s="20">
        <f>-MAX(0,F112)*C17</f>
        <v>0</v>
      </c>
      <c r="G113" s="20">
        <f>-MAX(0,G112)*C17</f>
        <v>0</v>
      </c>
      <c r="H113" s="20">
        <f>-MAX(0,H112)*C17</f>
        <v>0</v>
      </c>
      <c r="I113" s="20">
        <f>-MAX(0,I112)*C17</f>
        <v>0</v>
      </c>
      <c r="J113" s="20">
        <f>-MAX(0,J112)*C17</f>
        <v>0</v>
      </c>
      <c r="K113" s="20">
        <f>-MAX(0,K112)*C17</f>
        <v>0</v>
      </c>
      <c r="L113" s="20">
        <f>-MAX(0,L112)*C17</f>
        <v>0</v>
      </c>
      <c r="M113" s="7"/>
      <c r="N113" s="7"/>
    </row>
    <row r="114" ht="18.75" customHeight="1">
      <c r="A114" s="160"/>
      <c r="B114" s="161" t="s">
        <v>403</v>
      </c>
      <c r="C114" s="162">
        <f t="shared" ref="C114:L114" si="15">C112+C113</f>
        <v>-4573373.675</v>
      </c>
      <c r="D114" s="162">
        <f t="shared" si="15"/>
        <v>-6557160.268</v>
      </c>
      <c r="E114" s="162">
        <f t="shared" si="15"/>
        <v>-8540946.861</v>
      </c>
      <c r="F114" s="162">
        <f t="shared" si="15"/>
        <v>-8488769.299</v>
      </c>
      <c r="G114" s="162">
        <f t="shared" si="15"/>
        <v>-8436591.738</v>
      </c>
      <c r="H114" s="162">
        <f t="shared" si="15"/>
        <v>-8384414.177</v>
      </c>
      <c r="I114" s="162">
        <f t="shared" si="15"/>
        <v>-8332236.616</v>
      </c>
      <c r="J114" s="162">
        <f t="shared" si="15"/>
        <v>-8332236.616</v>
      </c>
      <c r="K114" s="162">
        <f t="shared" si="15"/>
        <v>-8332236.616</v>
      </c>
      <c r="L114" s="162">
        <f t="shared" si="15"/>
        <v>-8332236.616</v>
      </c>
      <c r="M114" s="160"/>
      <c r="N114" s="160"/>
    </row>
    <row r="115">
      <c r="A115" s="7"/>
      <c r="B115" s="13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</row>
    <row r="116">
      <c r="A116" s="164"/>
      <c r="B116" s="165" t="s">
        <v>404</v>
      </c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5"/>
      <c r="O116" s="164"/>
      <c r="P116" s="164"/>
      <c r="Q116" s="164"/>
      <c r="R116" s="164"/>
      <c r="S116" s="164"/>
      <c r="T116" s="164"/>
      <c r="U116" s="164"/>
      <c r="V116" s="164"/>
      <c r="W116" s="164"/>
      <c r="X116" s="164"/>
      <c r="Y116" s="164"/>
      <c r="Z116" s="164"/>
    </row>
    <row r="117">
      <c r="A117" s="164"/>
      <c r="B117" s="178" t="s">
        <v>340</v>
      </c>
      <c r="C117" s="179" t="s">
        <v>380</v>
      </c>
      <c r="D117" s="179" t="s">
        <v>381</v>
      </c>
      <c r="E117" s="179" t="s">
        <v>382</v>
      </c>
      <c r="F117" s="179" t="s">
        <v>383</v>
      </c>
      <c r="G117" s="179" t="s">
        <v>384</v>
      </c>
      <c r="H117" s="179" t="s">
        <v>385</v>
      </c>
      <c r="I117" s="179" t="s">
        <v>386</v>
      </c>
      <c r="J117" s="179" t="s">
        <v>387</v>
      </c>
      <c r="K117" s="179" t="s">
        <v>388</v>
      </c>
      <c r="L117" s="179" t="s">
        <v>389</v>
      </c>
      <c r="M117" s="185"/>
      <c r="N117" s="185"/>
      <c r="O117" s="164"/>
      <c r="P117" s="164"/>
      <c r="Q117" s="164"/>
      <c r="R117" s="164"/>
      <c r="S117" s="164"/>
      <c r="T117" s="164"/>
      <c r="U117" s="164"/>
      <c r="V117" s="164"/>
      <c r="W117" s="164"/>
      <c r="X117" s="164"/>
      <c r="Y117" s="164"/>
      <c r="Z117" s="164"/>
    </row>
    <row r="118">
      <c r="A118" s="2"/>
      <c r="B118" s="92" t="s">
        <v>390</v>
      </c>
      <c r="C118" s="26">
        <f>E92*12*C22</f>
        <v>32015160.58</v>
      </c>
      <c r="D118" s="26">
        <f>E92*12*C23</f>
        <v>48022740.86</v>
      </c>
      <c r="E118" s="26">
        <f>E92*12*C24</f>
        <v>64030321.15</v>
      </c>
      <c r="F118" s="26">
        <f>E92*12*C24</f>
        <v>64030321.15</v>
      </c>
      <c r="G118" s="26">
        <f>E92*12*C24</f>
        <v>64030321.15</v>
      </c>
      <c r="H118" s="26">
        <f>E92*12*C24</f>
        <v>64030321.15</v>
      </c>
      <c r="I118" s="26">
        <f>E92*12*C24</f>
        <v>64030321.15</v>
      </c>
      <c r="J118" s="26">
        <f>E92*12*C24</f>
        <v>64030321.15</v>
      </c>
      <c r="K118" s="26">
        <f>E92*12*C24</f>
        <v>64030321.15</v>
      </c>
      <c r="L118" s="26">
        <f>E92*12*C24</f>
        <v>64030321.15</v>
      </c>
      <c r="M118" s="2"/>
      <c r="N118" s="2"/>
    </row>
    <row r="119">
      <c r="A119" s="7"/>
      <c r="B119" s="96" t="s">
        <v>375</v>
      </c>
      <c r="C119" s="20">
        <f>-C118*C11</f>
        <v>-3201516.058</v>
      </c>
      <c r="D119" s="20">
        <f>-D118*C11</f>
        <v>-4802274.086</v>
      </c>
      <c r="E119" s="20">
        <f>-E118*C11</f>
        <v>-6403032.115</v>
      </c>
      <c r="F119" s="20">
        <f>-F118*C11</f>
        <v>-6403032.115</v>
      </c>
      <c r="G119" s="20">
        <f>-G118*C11</f>
        <v>-6403032.115</v>
      </c>
      <c r="H119" s="20">
        <f>-H118*C11</f>
        <v>-6403032.115</v>
      </c>
      <c r="I119" s="20">
        <f>-I118*C11</f>
        <v>-6403032.115</v>
      </c>
      <c r="J119" s="20">
        <f>-J118*C11</f>
        <v>-6403032.115</v>
      </c>
      <c r="K119" s="20">
        <f>-K118*C11</f>
        <v>-6403032.115</v>
      </c>
      <c r="L119" s="20">
        <f>-L118*C11</f>
        <v>-6403032.115</v>
      </c>
      <c r="M119" s="7"/>
      <c r="N119" s="7"/>
    </row>
    <row r="120">
      <c r="A120" s="2"/>
      <c r="B120" s="152" t="s">
        <v>391</v>
      </c>
      <c r="C120" s="22">
        <f t="shared" ref="C120:L120" si="16">C118+C119</f>
        <v>28813644.52</v>
      </c>
      <c r="D120" s="22">
        <f t="shared" si="16"/>
        <v>43220466.78</v>
      </c>
      <c r="E120" s="22">
        <f t="shared" si="16"/>
        <v>57627289.04</v>
      </c>
      <c r="F120" s="22">
        <f t="shared" si="16"/>
        <v>57627289.04</v>
      </c>
      <c r="G120" s="22">
        <f t="shared" si="16"/>
        <v>57627289.04</v>
      </c>
      <c r="H120" s="22">
        <f t="shared" si="16"/>
        <v>57627289.04</v>
      </c>
      <c r="I120" s="22">
        <f t="shared" si="16"/>
        <v>57627289.04</v>
      </c>
      <c r="J120" s="22">
        <f t="shared" si="16"/>
        <v>57627289.04</v>
      </c>
      <c r="K120" s="22">
        <f t="shared" si="16"/>
        <v>57627289.04</v>
      </c>
      <c r="L120" s="22">
        <f t="shared" si="16"/>
        <v>57627289.04</v>
      </c>
      <c r="M120" s="23"/>
      <c r="N120" s="23"/>
    </row>
    <row r="121">
      <c r="A121" s="7"/>
      <c r="B121" s="96" t="s">
        <v>392</v>
      </c>
      <c r="C121" s="20">
        <f>-C80*12*C22</f>
        <v>-23774831.76</v>
      </c>
      <c r="D121" s="20">
        <f>-C80*12*C23</f>
        <v>-35662247.64</v>
      </c>
      <c r="E121" s="20">
        <f>-C80*12*C24</f>
        <v>-47549663.52</v>
      </c>
      <c r="F121" s="20">
        <f>-C80*12*C24</f>
        <v>-47549663.52</v>
      </c>
      <c r="G121" s="20">
        <f>-C80*12*C24</f>
        <v>-47549663.52</v>
      </c>
      <c r="H121" s="20">
        <f>-C80*12*C24</f>
        <v>-47549663.52</v>
      </c>
      <c r="I121" s="20">
        <f>-C80*12*C24</f>
        <v>-47549663.52</v>
      </c>
      <c r="J121" s="20">
        <f>-C80*12*C24</f>
        <v>-47549663.52</v>
      </c>
      <c r="K121" s="20">
        <f>-C80*12*C24</f>
        <v>-47549663.52</v>
      </c>
      <c r="L121" s="20">
        <f>-C80*12*C24</f>
        <v>-47549663.52</v>
      </c>
      <c r="M121" s="7"/>
      <c r="N121" s="7"/>
    </row>
    <row r="122" ht="18.75" customHeight="1">
      <c r="A122" s="160"/>
      <c r="B122" s="161" t="s">
        <v>393</v>
      </c>
      <c r="C122" s="162">
        <f t="shared" ref="C122:L122" si="17">C120+C121</f>
        <v>5038812.761</v>
      </c>
      <c r="D122" s="162">
        <f t="shared" si="17"/>
        <v>7558219.141</v>
      </c>
      <c r="E122" s="162">
        <f t="shared" si="17"/>
        <v>10077625.52</v>
      </c>
      <c r="F122" s="162">
        <f t="shared" si="17"/>
        <v>10077625.52</v>
      </c>
      <c r="G122" s="162">
        <f t="shared" si="17"/>
        <v>10077625.52</v>
      </c>
      <c r="H122" s="162">
        <f t="shared" si="17"/>
        <v>10077625.52</v>
      </c>
      <c r="I122" s="162">
        <f t="shared" si="17"/>
        <v>10077625.52</v>
      </c>
      <c r="J122" s="162">
        <f t="shared" si="17"/>
        <v>10077625.52</v>
      </c>
      <c r="K122" s="162">
        <f t="shared" si="17"/>
        <v>10077625.52</v>
      </c>
      <c r="L122" s="162">
        <f t="shared" si="17"/>
        <v>10077625.52</v>
      </c>
      <c r="M122" s="160"/>
      <c r="N122" s="160"/>
    </row>
    <row r="123">
      <c r="A123" s="7"/>
      <c r="B123" s="96" t="s">
        <v>394</v>
      </c>
      <c r="C123" s="24">
        <f t="shared" ref="C123:L123" si="18">IF(C120=0,0,C122/C120)</f>
        <v>0.1748759258</v>
      </c>
      <c r="D123" s="24">
        <f t="shared" si="18"/>
        <v>0.1748759258</v>
      </c>
      <c r="E123" s="24">
        <f t="shared" si="18"/>
        <v>0.1748759258</v>
      </c>
      <c r="F123" s="24">
        <f t="shared" si="18"/>
        <v>0.1748759258</v>
      </c>
      <c r="G123" s="24">
        <f t="shared" si="18"/>
        <v>0.1748759258</v>
      </c>
      <c r="H123" s="24">
        <f t="shared" si="18"/>
        <v>0.1748759258</v>
      </c>
      <c r="I123" s="24">
        <f t="shared" si="18"/>
        <v>0.1748759258</v>
      </c>
      <c r="J123" s="24">
        <f t="shared" si="18"/>
        <v>0.1748759258</v>
      </c>
      <c r="K123" s="24">
        <f t="shared" si="18"/>
        <v>0.1748759258</v>
      </c>
      <c r="L123" s="24">
        <f t="shared" si="18"/>
        <v>0.1748759258</v>
      </c>
      <c r="M123" s="7"/>
      <c r="N123" s="7"/>
    </row>
    <row r="124">
      <c r="A124" s="2"/>
      <c r="B124" s="92" t="s">
        <v>395</v>
      </c>
      <c r="C124" s="26">
        <f>-(C60/C18+C61/20)</f>
        <v>-188380</v>
      </c>
      <c r="D124" s="26">
        <f>-(C60/C18+C61/20)</f>
        <v>-188380</v>
      </c>
      <c r="E124" s="26">
        <f>-(C60/C18+C61/20)</f>
        <v>-188380</v>
      </c>
      <c r="F124" s="26">
        <f>-(C60/C18+C61/20)</f>
        <v>-188380</v>
      </c>
      <c r="G124" s="26">
        <f>-(C60/C18+C61/20)</f>
        <v>-188380</v>
      </c>
      <c r="H124" s="26">
        <f>-(C60/C18+C61/20)</f>
        <v>-188380</v>
      </c>
      <c r="I124" s="26">
        <f>-(C60/C18+C61/20)</f>
        <v>-188380</v>
      </c>
      <c r="J124" s="26">
        <f>-(C60/C18+C61/20)</f>
        <v>-188380</v>
      </c>
      <c r="K124" s="26">
        <f>-(C60/C18+C61/20)</f>
        <v>-188380</v>
      </c>
      <c r="L124" s="26">
        <f>-(C60/C18+C61/20)</f>
        <v>-188380</v>
      </c>
      <c r="M124" s="2"/>
      <c r="N124" s="2"/>
    </row>
    <row r="125">
      <c r="A125" s="7"/>
      <c r="B125" s="163" t="s">
        <v>396</v>
      </c>
      <c r="C125" s="34">
        <f t="shared" ref="C125:L125" si="19">C122+C124</f>
        <v>4850432.761</v>
      </c>
      <c r="D125" s="34">
        <f t="shared" si="19"/>
        <v>7369839.141</v>
      </c>
      <c r="E125" s="34">
        <f t="shared" si="19"/>
        <v>9889245.522</v>
      </c>
      <c r="F125" s="34">
        <f t="shared" si="19"/>
        <v>9889245.522</v>
      </c>
      <c r="G125" s="34">
        <f t="shared" si="19"/>
        <v>9889245.522</v>
      </c>
      <c r="H125" s="34">
        <f t="shared" si="19"/>
        <v>9889245.522</v>
      </c>
      <c r="I125" s="34">
        <f t="shared" si="19"/>
        <v>9889245.522</v>
      </c>
      <c r="J125" s="34">
        <f t="shared" si="19"/>
        <v>9889245.522</v>
      </c>
      <c r="K125" s="34">
        <f t="shared" si="19"/>
        <v>9889245.522</v>
      </c>
      <c r="L125" s="34">
        <f t="shared" si="19"/>
        <v>9889245.522</v>
      </c>
      <c r="M125" s="35"/>
      <c r="N125" s="35"/>
    </row>
    <row r="126">
      <c r="A126" s="2"/>
      <c r="B126" s="92" t="s">
        <v>397</v>
      </c>
      <c r="C126" s="26">
        <f t="shared" ref="C126:L126" si="20">-D182</f>
        <v>-313065.3667</v>
      </c>
      <c r="D126" s="26">
        <f t="shared" si="20"/>
        <v>-260887.8056</v>
      </c>
      <c r="E126" s="26">
        <f t="shared" si="20"/>
        <v>-208710.2445</v>
      </c>
      <c r="F126" s="26">
        <f t="shared" si="20"/>
        <v>-156532.6834</v>
      </c>
      <c r="G126" s="26">
        <f t="shared" si="20"/>
        <v>-104355.1222</v>
      </c>
      <c r="H126" s="26">
        <f t="shared" si="20"/>
        <v>-52177.56112</v>
      </c>
      <c r="I126" s="26">
        <f t="shared" si="20"/>
        <v>0</v>
      </c>
      <c r="J126" s="26">
        <f t="shared" si="20"/>
        <v>0</v>
      </c>
      <c r="K126" s="26">
        <f t="shared" si="20"/>
        <v>0</v>
      </c>
      <c r="L126" s="26">
        <f t="shared" si="20"/>
        <v>0</v>
      </c>
      <c r="M126" s="2"/>
      <c r="N126" s="2"/>
    </row>
    <row r="127">
      <c r="A127" s="7"/>
      <c r="B127" s="96" t="s">
        <v>398</v>
      </c>
      <c r="C127" s="20">
        <f t="shared" ref="C127:L127" si="21">C125+C126</f>
        <v>4537367.394</v>
      </c>
      <c r="D127" s="20">
        <f t="shared" si="21"/>
        <v>7108951.336</v>
      </c>
      <c r="E127" s="20">
        <f t="shared" si="21"/>
        <v>9680535.277</v>
      </c>
      <c r="F127" s="20">
        <f t="shared" si="21"/>
        <v>9732712.838</v>
      </c>
      <c r="G127" s="20">
        <f t="shared" si="21"/>
        <v>9784890.399</v>
      </c>
      <c r="H127" s="20">
        <f t="shared" si="21"/>
        <v>9837067.96</v>
      </c>
      <c r="I127" s="20">
        <f t="shared" si="21"/>
        <v>9889245.522</v>
      </c>
      <c r="J127" s="20">
        <f t="shared" si="21"/>
        <v>9889245.522</v>
      </c>
      <c r="K127" s="20">
        <f t="shared" si="21"/>
        <v>9889245.522</v>
      </c>
      <c r="L127" s="20">
        <f t="shared" si="21"/>
        <v>9889245.522</v>
      </c>
      <c r="M127" s="7"/>
      <c r="N127" s="7"/>
    </row>
    <row r="128">
      <c r="A128" s="2"/>
      <c r="B128" s="92" t="s">
        <v>399</v>
      </c>
      <c r="C128" s="26">
        <f>-MAX(0,C127)*C15</f>
        <v>-1361210.218</v>
      </c>
      <c r="D128" s="26">
        <f>-MAX(0,D127)*C15</f>
        <v>-2132685.401</v>
      </c>
      <c r="E128" s="26">
        <f>-MAX(0,E127)*C15</f>
        <v>-2904160.583</v>
      </c>
      <c r="F128" s="26">
        <f>-MAX(0,F127)*C15</f>
        <v>-2919813.851</v>
      </c>
      <c r="G128" s="26">
        <f>-MAX(0,G127)*C15</f>
        <v>-2935467.12</v>
      </c>
      <c r="H128" s="26">
        <f>-MAX(0,H127)*C15</f>
        <v>-2951120.388</v>
      </c>
      <c r="I128" s="26">
        <f>-MAX(0,I127)*C15</f>
        <v>-2966773.656</v>
      </c>
      <c r="J128" s="26">
        <f>-MAX(0,J127)*C15</f>
        <v>-2966773.656</v>
      </c>
      <c r="K128" s="26">
        <f>-MAX(0,K127)*C15</f>
        <v>-2966773.656</v>
      </c>
      <c r="L128" s="26">
        <f>-MAX(0,L127)*C15</f>
        <v>-2966773.656</v>
      </c>
      <c r="M128" s="2"/>
      <c r="N128" s="2"/>
    </row>
    <row r="129">
      <c r="A129" s="7"/>
      <c r="B129" s="96" t="s">
        <v>400</v>
      </c>
      <c r="C129" s="20">
        <f>-MAX(0,C127)*C16</f>
        <v>-453736.7394</v>
      </c>
      <c r="D129" s="20">
        <f>-MAX(0,D127)*C16</f>
        <v>-710895.1336</v>
      </c>
      <c r="E129" s="20">
        <f>-MAX(0,E127)*C16</f>
        <v>-968053.5277</v>
      </c>
      <c r="F129" s="20">
        <f>-MAX(0,F127)*C16</f>
        <v>-973271.2838</v>
      </c>
      <c r="G129" s="20">
        <f>-MAX(0,G127)*C16</f>
        <v>-978489.0399</v>
      </c>
      <c r="H129" s="20">
        <f>-MAX(0,H127)*C16</f>
        <v>-983706.796</v>
      </c>
      <c r="I129" s="20">
        <f>-MAX(0,I127)*C16</f>
        <v>-988924.5522</v>
      </c>
      <c r="J129" s="20">
        <f>-MAX(0,J127)*C16</f>
        <v>-988924.5522</v>
      </c>
      <c r="K129" s="20">
        <f>-MAX(0,K127)*C16</f>
        <v>-988924.5522</v>
      </c>
      <c r="L129" s="20">
        <f>-MAX(0,L127)*C16</f>
        <v>-988924.5522</v>
      </c>
      <c r="M129" s="7"/>
      <c r="N129" s="7"/>
    </row>
    <row r="130" ht="18.75" customHeight="1">
      <c r="A130" s="160"/>
      <c r="B130" s="161" t="s">
        <v>401</v>
      </c>
      <c r="C130" s="162">
        <f t="shared" ref="C130:L130" si="22">C127+C128+C129</f>
        <v>2722420.436</v>
      </c>
      <c r="D130" s="162">
        <f t="shared" si="22"/>
        <v>4265370.801</v>
      </c>
      <c r="E130" s="162">
        <f t="shared" si="22"/>
        <v>5808321.166</v>
      </c>
      <c r="F130" s="162">
        <f t="shared" si="22"/>
        <v>5839627.703</v>
      </c>
      <c r="G130" s="162">
        <f t="shared" si="22"/>
        <v>5870934.24</v>
      </c>
      <c r="H130" s="162">
        <f t="shared" si="22"/>
        <v>5902240.776</v>
      </c>
      <c r="I130" s="162">
        <f t="shared" si="22"/>
        <v>5933547.313</v>
      </c>
      <c r="J130" s="162">
        <f t="shared" si="22"/>
        <v>5933547.313</v>
      </c>
      <c r="K130" s="162">
        <f t="shared" si="22"/>
        <v>5933547.313</v>
      </c>
      <c r="L130" s="162">
        <f t="shared" si="22"/>
        <v>5933547.313</v>
      </c>
      <c r="M130" s="160"/>
      <c r="N130" s="160"/>
    </row>
    <row r="131">
      <c r="A131" s="7"/>
      <c r="B131" s="96" t="s">
        <v>402</v>
      </c>
      <c r="C131" s="20">
        <f>-MAX(0,C130)*C17</f>
        <v>-136121.0218</v>
      </c>
      <c r="D131" s="20">
        <f>-MAX(0,D130)*C17</f>
        <v>-213268.5401</v>
      </c>
      <c r="E131" s="20">
        <f>-MAX(0,E130)*C17</f>
        <v>-290416.0583</v>
      </c>
      <c r="F131" s="20">
        <f>-MAX(0,F130)*C17</f>
        <v>-291981.3851</v>
      </c>
      <c r="G131" s="20">
        <f>-MAX(0,G130)*C17</f>
        <v>-293546.712</v>
      </c>
      <c r="H131" s="20">
        <f>-MAX(0,H130)*C17</f>
        <v>-295112.0388</v>
      </c>
      <c r="I131" s="20">
        <f>-MAX(0,I130)*C17</f>
        <v>-296677.3656</v>
      </c>
      <c r="J131" s="20">
        <f>-MAX(0,J130)*C17</f>
        <v>-296677.3656</v>
      </c>
      <c r="K131" s="20">
        <f>-MAX(0,K130)*C17</f>
        <v>-296677.3656</v>
      </c>
      <c r="L131" s="20">
        <f>-MAX(0,L130)*C17</f>
        <v>-296677.3656</v>
      </c>
      <c r="M131" s="7"/>
      <c r="N131" s="7"/>
    </row>
    <row r="132" ht="18.75" customHeight="1">
      <c r="A132" s="160"/>
      <c r="B132" s="161" t="s">
        <v>403</v>
      </c>
      <c r="C132" s="162">
        <f t="shared" ref="C132:L132" si="23">C130+C131</f>
        <v>2586299.415</v>
      </c>
      <c r="D132" s="162">
        <f t="shared" si="23"/>
        <v>4052102.261</v>
      </c>
      <c r="E132" s="162">
        <f t="shared" si="23"/>
        <v>5517905.108</v>
      </c>
      <c r="F132" s="162">
        <f t="shared" si="23"/>
        <v>5547646.318</v>
      </c>
      <c r="G132" s="162">
        <f t="shared" si="23"/>
        <v>5577387.528</v>
      </c>
      <c r="H132" s="162">
        <f t="shared" si="23"/>
        <v>5607128.737</v>
      </c>
      <c r="I132" s="162">
        <f t="shared" si="23"/>
        <v>5636869.947</v>
      </c>
      <c r="J132" s="162">
        <f t="shared" si="23"/>
        <v>5636869.947</v>
      </c>
      <c r="K132" s="162">
        <f t="shared" si="23"/>
        <v>5636869.947</v>
      </c>
      <c r="L132" s="162">
        <f t="shared" si="23"/>
        <v>5636869.947</v>
      </c>
      <c r="M132" s="160"/>
      <c r="N132" s="160"/>
    </row>
    <row r="133">
      <c r="A133" s="7"/>
      <c r="B133" s="13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</row>
    <row r="134">
      <c r="A134" s="164"/>
      <c r="B134" s="165" t="s">
        <v>405</v>
      </c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5"/>
      <c r="O134" s="164"/>
      <c r="P134" s="164"/>
      <c r="Q134" s="164"/>
      <c r="R134" s="164"/>
      <c r="S134" s="164"/>
      <c r="T134" s="164"/>
      <c r="U134" s="164"/>
      <c r="V134" s="164"/>
      <c r="W134" s="164"/>
      <c r="X134" s="164"/>
      <c r="Y134" s="164"/>
      <c r="Z134" s="164"/>
    </row>
    <row r="135">
      <c r="A135" s="164"/>
      <c r="B135" s="178" t="s">
        <v>340</v>
      </c>
      <c r="C135" s="179" t="s">
        <v>380</v>
      </c>
      <c r="D135" s="179" t="s">
        <v>381</v>
      </c>
      <c r="E135" s="179" t="s">
        <v>382</v>
      </c>
      <c r="F135" s="179" t="s">
        <v>383</v>
      </c>
      <c r="G135" s="179" t="s">
        <v>384</v>
      </c>
      <c r="H135" s="179" t="s">
        <v>385</v>
      </c>
      <c r="I135" s="179" t="s">
        <v>386</v>
      </c>
      <c r="J135" s="179" t="s">
        <v>387</v>
      </c>
      <c r="K135" s="179" t="s">
        <v>388</v>
      </c>
      <c r="L135" s="179" t="s">
        <v>389</v>
      </c>
      <c r="M135" s="185"/>
      <c r="N135" s="185"/>
      <c r="O135" s="164"/>
      <c r="P135" s="164"/>
      <c r="Q135" s="164"/>
      <c r="R135" s="164"/>
      <c r="S135" s="164"/>
      <c r="T135" s="164"/>
      <c r="U135" s="164"/>
      <c r="V135" s="164"/>
      <c r="W135" s="164"/>
      <c r="X135" s="164"/>
      <c r="Y135" s="164"/>
      <c r="Z135" s="164"/>
    </row>
    <row r="136">
      <c r="A136" s="2"/>
      <c r="B136" s="92" t="s">
        <v>390</v>
      </c>
      <c r="C136" s="26">
        <f>F92*12*C22</f>
        <v>86635713.02</v>
      </c>
      <c r="D136" s="26">
        <f>F92*12*C23</f>
        <v>129953569.5</v>
      </c>
      <c r="E136" s="26">
        <f>F92*12*C24</f>
        <v>173271426</v>
      </c>
      <c r="F136" s="26">
        <f>F92*12*C24</f>
        <v>173271426</v>
      </c>
      <c r="G136" s="26">
        <f>F92*12*C24</f>
        <v>173271426</v>
      </c>
      <c r="H136" s="26">
        <f>F92*12*C24</f>
        <v>173271426</v>
      </c>
      <c r="I136" s="26">
        <f>F92*12*C24</f>
        <v>173271426</v>
      </c>
      <c r="J136" s="26">
        <f>F92*12*C24</f>
        <v>173271426</v>
      </c>
      <c r="K136" s="26">
        <f>F92*12*C24</f>
        <v>173271426</v>
      </c>
      <c r="L136" s="26">
        <f>F92*12*C24</f>
        <v>173271426</v>
      </c>
      <c r="M136" s="2"/>
      <c r="N136" s="2"/>
    </row>
    <row r="137">
      <c r="A137" s="7"/>
      <c r="B137" s="96" t="s">
        <v>375</v>
      </c>
      <c r="C137" s="20">
        <f>-C136*C11</f>
        <v>-8663571.302</v>
      </c>
      <c r="D137" s="20">
        <f>-D136*C11</f>
        <v>-12995356.95</v>
      </c>
      <c r="E137" s="20">
        <f>-E136*C11</f>
        <v>-17327142.6</v>
      </c>
      <c r="F137" s="20">
        <f>-F136*C11</f>
        <v>-17327142.6</v>
      </c>
      <c r="G137" s="20">
        <f>-G136*C11</f>
        <v>-17327142.6</v>
      </c>
      <c r="H137" s="20">
        <f>-H136*C11</f>
        <v>-17327142.6</v>
      </c>
      <c r="I137" s="20">
        <f>-I136*C11</f>
        <v>-17327142.6</v>
      </c>
      <c r="J137" s="20">
        <f>-J136*C11</f>
        <v>-17327142.6</v>
      </c>
      <c r="K137" s="20">
        <f>-K136*C11</f>
        <v>-17327142.6</v>
      </c>
      <c r="L137" s="20">
        <f>-L136*C11</f>
        <v>-17327142.6</v>
      </c>
      <c r="M137" s="7"/>
      <c r="N137" s="7"/>
    </row>
    <row r="138">
      <c r="A138" s="2"/>
      <c r="B138" s="152" t="s">
        <v>391</v>
      </c>
      <c r="C138" s="22">
        <f t="shared" ref="C138:L138" si="24">C136+C137</f>
        <v>77972141.72</v>
      </c>
      <c r="D138" s="22">
        <f t="shared" si="24"/>
        <v>116958212.6</v>
      </c>
      <c r="E138" s="22">
        <f t="shared" si="24"/>
        <v>155944283.4</v>
      </c>
      <c r="F138" s="22">
        <f t="shared" si="24"/>
        <v>155944283.4</v>
      </c>
      <c r="G138" s="22">
        <f t="shared" si="24"/>
        <v>155944283.4</v>
      </c>
      <c r="H138" s="22">
        <f t="shared" si="24"/>
        <v>155944283.4</v>
      </c>
      <c r="I138" s="22">
        <f t="shared" si="24"/>
        <v>155944283.4</v>
      </c>
      <c r="J138" s="22">
        <f t="shared" si="24"/>
        <v>155944283.4</v>
      </c>
      <c r="K138" s="22">
        <f t="shared" si="24"/>
        <v>155944283.4</v>
      </c>
      <c r="L138" s="22">
        <f t="shared" si="24"/>
        <v>155944283.4</v>
      </c>
      <c r="M138" s="23"/>
      <c r="N138" s="23"/>
    </row>
    <row r="139">
      <c r="A139" s="7"/>
      <c r="B139" s="96" t="s">
        <v>392</v>
      </c>
      <c r="C139" s="20">
        <f>-C80*12*C22</f>
        <v>-23774831.76</v>
      </c>
      <c r="D139" s="20">
        <f>-C80*12*C23</f>
        <v>-35662247.64</v>
      </c>
      <c r="E139" s="20">
        <f>-C80*12*C24</f>
        <v>-47549663.52</v>
      </c>
      <c r="F139" s="20">
        <f>-C80*12*C24</f>
        <v>-47549663.52</v>
      </c>
      <c r="G139" s="20">
        <f>-C80*12*C24</f>
        <v>-47549663.52</v>
      </c>
      <c r="H139" s="20">
        <f>-C80*12*C24</f>
        <v>-47549663.52</v>
      </c>
      <c r="I139" s="20">
        <f>-C80*12*C24</f>
        <v>-47549663.52</v>
      </c>
      <c r="J139" s="20">
        <f>-C80*12*C24</f>
        <v>-47549663.52</v>
      </c>
      <c r="K139" s="20">
        <f>-C80*12*C24</f>
        <v>-47549663.52</v>
      </c>
      <c r="L139" s="20">
        <f>-C80*12*C24</f>
        <v>-47549663.52</v>
      </c>
      <c r="M139" s="7"/>
      <c r="N139" s="7"/>
    </row>
    <row r="140" ht="18.75" customHeight="1">
      <c r="A140" s="160"/>
      <c r="B140" s="161" t="s">
        <v>393</v>
      </c>
      <c r="C140" s="162">
        <f t="shared" ref="C140:L140" si="25">C138+C139</f>
        <v>54197309.96</v>
      </c>
      <c r="D140" s="162">
        <f t="shared" si="25"/>
        <v>81295964.95</v>
      </c>
      <c r="E140" s="162">
        <f t="shared" si="25"/>
        <v>108394619.9</v>
      </c>
      <c r="F140" s="162">
        <f t="shared" si="25"/>
        <v>108394619.9</v>
      </c>
      <c r="G140" s="162">
        <f t="shared" si="25"/>
        <v>108394619.9</v>
      </c>
      <c r="H140" s="162">
        <f t="shared" si="25"/>
        <v>108394619.9</v>
      </c>
      <c r="I140" s="162">
        <f t="shared" si="25"/>
        <v>108394619.9</v>
      </c>
      <c r="J140" s="162">
        <f t="shared" si="25"/>
        <v>108394619.9</v>
      </c>
      <c r="K140" s="162">
        <f t="shared" si="25"/>
        <v>108394619.9</v>
      </c>
      <c r="L140" s="162">
        <f t="shared" si="25"/>
        <v>108394619.9</v>
      </c>
      <c r="M140" s="160"/>
      <c r="N140" s="160"/>
    </row>
    <row r="141">
      <c r="A141" s="7"/>
      <c r="B141" s="96" t="s">
        <v>394</v>
      </c>
      <c r="C141" s="24">
        <f t="shared" ref="C141:L141" si="26">IF(C138=0,0,C140/C138)</f>
        <v>0.6950855622</v>
      </c>
      <c r="D141" s="24">
        <f t="shared" si="26"/>
        <v>0.6950855622</v>
      </c>
      <c r="E141" s="24">
        <f t="shared" si="26"/>
        <v>0.6950855622</v>
      </c>
      <c r="F141" s="24">
        <f t="shared" si="26"/>
        <v>0.6950855622</v>
      </c>
      <c r="G141" s="24">
        <f t="shared" si="26"/>
        <v>0.6950855622</v>
      </c>
      <c r="H141" s="24">
        <f t="shared" si="26"/>
        <v>0.6950855622</v>
      </c>
      <c r="I141" s="24">
        <f t="shared" si="26"/>
        <v>0.6950855622</v>
      </c>
      <c r="J141" s="24">
        <f t="shared" si="26"/>
        <v>0.6950855622</v>
      </c>
      <c r="K141" s="24">
        <f t="shared" si="26"/>
        <v>0.6950855622</v>
      </c>
      <c r="L141" s="24">
        <f t="shared" si="26"/>
        <v>0.6950855622</v>
      </c>
      <c r="M141" s="7"/>
      <c r="N141" s="7"/>
    </row>
    <row r="142">
      <c r="A142" s="2"/>
      <c r="B142" s="92" t="s">
        <v>395</v>
      </c>
      <c r="C142" s="26">
        <f>-(C60/C18+C61/20)</f>
        <v>-188380</v>
      </c>
      <c r="D142" s="26">
        <f>-(C60/C18+C61/20)</f>
        <v>-188380</v>
      </c>
      <c r="E142" s="26">
        <f>-(C60/C18+C61/20)</f>
        <v>-188380</v>
      </c>
      <c r="F142" s="26">
        <f>-(C60/C18+C61/20)</f>
        <v>-188380</v>
      </c>
      <c r="G142" s="26">
        <f>-(C60/C18+C61/20)</f>
        <v>-188380</v>
      </c>
      <c r="H142" s="26">
        <f>-(C60/C18+C61/20)</f>
        <v>-188380</v>
      </c>
      <c r="I142" s="26">
        <f>-(C60/C18+C61/20)</f>
        <v>-188380</v>
      </c>
      <c r="J142" s="26">
        <f>-(C60/C18+C61/20)</f>
        <v>-188380</v>
      </c>
      <c r="K142" s="26">
        <f>-(C60/C18+C61/20)</f>
        <v>-188380</v>
      </c>
      <c r="L142" s="26">
        <f>-(C60/C18+C61/20)</f>
        <v>-188380</v>
      </c>
      <c r="M142" s="2"/>
      <c r="N142" s="2"/>
    </row>
    <row r="143">
      <c r="A143" s="7"/>
      <c r="B143" s="163" t="s">
        <v>396</v>
      </c>
      <c r="C143" s="34">
        <f t="shared" ref="C143:L143" si="27">C140+C142</f>
        <v>54008929.96</v>
      </c>
      <c r="D143" s="34">
        <f t="shared" si="27"/>
        <v>81107584.95</v>
      </c>
      <c r="E143" s="34">
        <f t="shared" si="27"/>
        <v>108206239.9</v>
      </c>
      <c r="F143" s="34">
        <f t="shared" si="27"/>
        <v>108206239.9</v>
      </c>
      <c r="G143" s="34">
        <f t="shared" si="27"/>
        <v>108206239.9</v>
      </c>
      <c r="H143" s="34">
        <f t="shared" si="27"/>
        <v>108206239.9</v>
      </c>
      <c r="I143" s="34">
        <f t="shared" si="27"/>
        <v>108206239.9</v>
      </c>
      <c r="J143" s="34">
        <f t="shared" si="27"/>
        <v>108206239.9</v>
      </c>
      <c r="K143" s="34">
        <f t="shared" si="27"/>
        <v>108206239.9</v>
      </c>
      <c r="L143" s="34">
        <f t="shared" si="27"/>
        <v>108206239.9</v>
      </c>
      <c r="M143" s="35"/>
      <c r="N143" s="35"/>
    </row>
    <row r="144">
      <c r="A144" s="2"/>
      <c r="B144" s="92" t="s">
        <v>397</v>
      </c>
      <c r="C144" s="26">
        <f t="shared" ref="C144:L144" si="28">-D196</f>
        <v>-313065.3667</v>
      </c>
      <c r="D144" s="26">
        <f t="shared" si="28"/>
        <v>-260887.8056</v>
      </c>
      <c r="E144" s="26">
        <f t="shared" si="28"/>
        <v>-208710.2445</v>
      </c>
      <c r="F144" s="26">
        <f t="shared" si="28"/>
        <v>-156532.6834</v>
      </c>
      <c r="G144" s="26">
        <f t="shared" si="28"/>
        <v>-104355.1222</v>
      </c>
      <c r="H144" s="26">
        <f t="shared" si="28"/>
        <v>-52177.56112</v>
      </c>
      <c r="I144" s="26">
        <f t="shared" si="28"/>
        <v>0</v>
      </c>
      <c r="J144" s="26">
        <f t="shared" si="28"/>
        <v>0</v>
      </c>
      <c r="K144" s="26">
        <f t="shared" si="28"/>
        <v>0</v>
      </c>
      <c r="L144" s="26">
        <f t="shared" si="28"/>
        <v>0</v>
      </c>
      <c r="M144" s="2"/>
      <c r="N144" s="2"/>
    </row>
    <row r="145">
      <c r="A145" s="7"/>
      <c r="B145" s="96" t="s">
        <v>398</v>
      </c>
      <c r="C145" s="20">
        <f t="shared" ref="C145:L145" si="29">C143+C144</f>
        <v>53695864.6</v>
      </c>
      <c r="D145" s="20">
        <f t="shared" si="29"/>
        <v>80846697.14</v>
      </c>
      <c r="E145" s="20">
        <f t="shared" si="29"/>
        <v>107997529.7</v>
      </c>
      <c r="F145" s="20">
        <f t="shared" si="29"/>
        <v>108049707.2</v>
      </c>
      <c r="G145" s="20">
        <f t="shared" si="29"/>
        <v>108101884.8</v>
      </c>
      <c r="H145" s="20">
        <f t="shared" si="29"/>
        <v>108154062.4</v>
      </c>
      <c r="I145" s="20">
        <f t="shared" si="29"/>
        <v>108206239.9</v>
      </c>
      <c r="J145" s="20">
        <f t="shared" si="29"/>
        <v>108206239.9</v>
      </c>
      <c r="K145" s="20">
        <f t="shared" si="29"/>
        <v>108206239.9</v>
      </c>
      <c r="L145" s="20">
        <f t="shared" si="29"/>
        <v>108206239.9</v>
      </c>
      <c r="M145" s="7"/>
      <c r="N145" s="7"/>
    </row>
    <row r="146">
      <c r="A146" s="2"/>
      <c r="B146" s="92" t="s">
        <v>399</v>
      </c>
      <c r="C146" s="26">
        <f>-MAX(0,C145)*C15</f>
        <v>-16108759.38</v>
      </c>
      <c r="D146" s="26">
        <f>-MAX(0,D145)*C15</f>
        <v>-24254009.14</v>
      </c>
      <c r="E146" s="26">
        <f>-MAX(0,E145)*C15</f>
        <v>-32399258.91</v>
      </c>
      <c r="F146" s="26">
        <f>-MAX(0,F145)*C15</f>
        <v>-32414912.17</v>
      </c>
      <c r="G146" s="26">
        <f>-MAX(0,G145)*C15</f>
        <v>-32430565.44</v>
      </c>
      <c r="H146" s="26">
        <f>-MAX(0,H145)*C15</f>
        <v>-32446218.71</v>
      </c>
      <c r="I146" s="26">
        <f>-MAX(0,I145)*C15</f>
        <v>-32461871.98</v>
      </c>
      <c r="J146" s="26">
        <f>-MAX(0,J145)*C15</f>
        <v>-32461871.98</v>
      </c>
      <c r="K146" s="26">
        <f>-MAX(0,K145)*C15</f>
        <v>-32461871.98</v>
      </c>
      <c r="L146" s="26">
        <f>-MAX(0,L145)*C15</f>
        <v>-32461871.98</v>
      </c>
      <c r="M146" s="2"/>
      <c r="N146" s="2"/>
    </row>
    <row r="147">
      <c r="A147" s="7"/>
      <c r="B147" s="96" t="s">
        <v>400</v>
      </c>
      <c r="C147" s="20">
        <f>-MAX(0,C145)*C16</f>
        <v>-5369586.46</v>
      </c>
      <c r="D147" s="20">
        <f>-MAX(0,D145)*C16</f>
        <v>-8084669.714</v>
      </c>
      <c r="E147" s="20">
        <f>-MAX(0,E145)*C16</f>
        <v>-10799752.97</v>
      </c>
      <c r="F147" s="20">
        <f>-MAX(0,F145)*C16</f>
        <v>-10804970.72</v>
      </c>
      <c r="G147" s="20">
        <f>-MAX(0,G145)*C16</f>
        <v>-10810188.48</v>
      </c>
      <c r="H147" s="20">
        <f>-MAX(0,H145)*C16</f>
        <v>-10815406.24</v>
      </c>
      <c r="I147" s="20">
        <f>-MAX(0,I145)*C16</f>
        <v>-10820623.99</v>
      </c>
      <c r="J147" s="20">
        <f>-MAX(0,J145)*C16</f>
        <v>-10820623.99</v>
      </c>
      <c r="K147" s="20">
        <f>-MAX(0,K145)*C16</f>
        <v>-10820623.99</v>
      </c>
      <c r="L147" s="20">
        <f>-MAX(0,L145)*C16</f>
        <v>-10820623.99</v>
      </c>
      <c r="M147" s="7"/>
      <c r="N147" s="7"/>
    </row>
    <row r="148" ht="18.75" customHeight="1">
      <c r="A148" s="160"/>
      <c r="B148" s="161" t="s">
        <v>401</v>
      </c>
      <c r="C148" s="162">
        <f t="shared" ref="C148:L148" si="30">C145+C146+C147</f>
        <v>32217518.76</v>
      </c>
      <c r="D148" s="162">
        <f t="shared" si="30"/>
        <v>48508018.28</v>
      </c>
      <c r="E148" s="162">
        <f t="shared" si="30"/>
        <v>64798517.81</v>
      </c>
      <c r="F148" s="162">
        <f t="shared" si="30"/>
        <v>64829824.35</v>
      </c>
      <c r="G148" s="162">
        <f t="shared" si="30"/>
        <v>64861130.88</v>
      </c>
      <c r="H148" s="162">
        <f t="shared" si="30"/>
        <v>64892437.42</v>
      </c>
      <c r="I148" s="162">
        <f t="shared" si="30"/>
        <v>64923743.96</v>
      </c>
      <c r="J148" s="162">
        <f t="shared" si="30"/>
        <v>64923743.96</v>
      </c>
      <c r="K148" s="162">
        <f t="shared" si="30"/>
        <v>64923743.96</v>
      </c>
      <c r="L148" s="162">
        <f t="shared" si="30"/>
        <v>64923743.96</v>
      </c>
      <c r="M148" s="160"/>
      <c r="N148" s="160"/>
    </row>
    <row r="149">
      <c r="A149" s="7"/>
      <c r="B149" s="96" t="s">
        <v>402</v>
      </c>
      <c r="C149" s="20">
        <f>-MAX(0,C148)*C17</f>
        <v>-1610875.938</v>
      </c>
      <c r="D149" s="20">
        <f>-MAX(0,D148)*C17</f>
        <v>-2425400.914</v>
      </c>
      <c r="E149" s="20">
        <f>-MAX(0,E148)*C17</f>
        <v>-3239925.891</v>
      </c>
      <c r="F149" s="20">
        <f>-MAX(0,F148)*C17</f>
        <v>-3241491.217</v>
      </c>
      <c r="G149" s="20">
        <f>-MAX(0,G148)*C17</f>
        <v>-3243056.544</v>
      </c>
      <c r="H149" s="20">
        <f>-MAX(0,H148)*C17</f>
        <v>-3244621.871</v>
      </c>
      <c r="I149" s="20">
        <f>-MAX(0,I148)*C17</f>
        <v>-3246187.198</v>
      </c>
      <c r="J149" s="20">
        <f>-MAX(0,J148)*C17</f>
        <v>-3246187.198</v>
      </c>
      <c r="K149" s="20">
        <f>-MAX(0,K148)*C17</f>
        <v>-3246187.198</v>
      </c>
      <c r="L149" s="20">
        <f>-MAX(0,L148)*C17</f>
        <v>-3246187.198</v>
      </c>
      <c r="M149" s="7"/>
      <c r="N149" s="7"/>
    </row>
    <row r="150" ht="18.75" customHeight="1">
      <c r="A150" s="160"/>
      <c r="B150" s="161" t="s">
        <v>403</v>
      </c>
      <c r="C150" s="162">
        <f t="shared" ref="C150:L150" si="31">C148+C149</f>
        <v>30606642.82</v>
      </c>
      <c r="D150" s="162">
        <f t="shared" si="31"/>
        <v>46082617.37</v>
      </c>
      <c r="E150" s="162">
        <f t="shared" si="31"/>
        <v>61558591.92</v>
      </c>
      <c r="F150" s="162">
        <f t="shared" si="31"/>
        <v>61588333.13</v>
      </c>
      <c r="G150" s="162">
        <f t="shared" si="31"/>
        <v>61618074.34</v>
      </c>
      <c r="H150" s="162">
        <f t="shared" si="31"/>
        <v>61647815.55</v>
      </c>
      <c r="I150" s="162">
        <f t="shared" si="31"/>
        <v>61677556.76</v>
      </c>
      <c r="J150" s="162">
        <f t="shared" si="31"/>
        <v>61677556.76</v>
      </c>
      <c r="K150" s="162">
        <f t="shared" si="31"/>
        <v>61677556.76</v>
      </c>
      <c r="L150" s="162">
        <f t="shared" si="31"/>
        <v>61677556.76</v>
      </c>
      <c r="M150" s="160"/>
      <c r="N150" s="160"/>
    </row>
    <row r="151">
      <c r="A151" s="7"/>
      <c r="B151" s="13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</row>
    <row r="152">
      <c r="A152" s="164"/>
      <c r="B152" s="165" t="s">
        <v>527</v>
      </c>
      <c r="C152" s="4"/>
      <c r="D152" s="4"/>
      <c r="E152" s="4"/>
      <c r="F152" s="4"/>
      <c r="G152" s="4"/>
      <c r="H152" s="5"/>
      <c r="I152" s="190"/>
      <c r="J152" s="190"/>
      <c r="K152" s="190"/>
      <c r="L152" s="190"/>
      <c r="M152" s="190"/>
      <c r="N152" s="190"/>
      <c r="O152" s="164"/>
      <c r="P152" s="164"/>
      <c r="Q152" s="164"/>
      <c r="R152" s="164"/>
      <c r="S152" s="164"/>
      <c r="T152" s="164"/>
      <c r="U152" s="164"/>
      <c r="V152" s="164"/>
      <c r="W152" s="164"/>
      <c r="X152" s="164"/>
      <c r="Y152" s="164"/>
      <c r="Z152" s="164"/>
    </row>
    <row r="153">
      <c r="A153" s="164"/>
      <c r="B153" s="178" t="s">
        <v>407</v>
      </c>
      <c r="C153" s="179" t="s">
        <v>408</v>
      </c>
      <c r="D153" s="179" t="s">
        <v>409</v>
      </c>
      <c r="E153" s="179" t="s">
        <v>410</v>
      </c>
      <c r="F153" s="179"/>
      <c r="G153" s="179"/>
      <c r="H153" s="179"/>
      <c r="I153" s="164"/>
      <c r="J153" s="164"/>
      <c r="K153" s="164"/>
      <c r="L153" s="164"/>
      <c r="M153" s="164"/>
      <c r="N153" s="164"/>
      <c r="O153" s="164"/>
      <c r="P153" s="164"/>
      <c r="Q153" s="164"/>
      <c r="R153" s="164"/>
      <c r="S153" s="164"/>
      <c r="T153" s="164"/>
      <c r="U153" s="164"/>
      <c r="V153" s="164"/>
      <c r="W153" s="164"/>
      <c r="X153" s="164"/>
      <c r="Y153" s="164"/>
      <c r="Z153" s="164"/>
    </row>
    <row r="154">
      <c r="A154" s="2"/>
      <c r="B154" s="92" t="s">
        <v>411</v>
      </c>
      <c r="C154" s="26">
        <f t="shared" ref="C154:C155" si="32">C60</f>
        <v>1708800</v>
      </c>
      <c r="D154" s="44">
        <f>C18</f>
        <v>10</v>
      </c>
      <c r="E154" s="26">
        <f t="shared" ref="E154:E155" si="33">C154/D154</f>
        <v>170880</v>
      </c>
      <c r="F154" s="2"/>
      <c r="G154" s="2"/>
      <c r="H154" s="2"/>
      <c r="I154" s="2"/>
      <c r="J154" s="2"/>
      <c r="K154" s="2"/>
      <c r="L154" s="2"/>
      <c r="M154" s="2"/>
      <c r="N154" s="2"/>
    </row>
    <row r="155">
      <c r="A155" s="7"/>
      <c r="B155" s="96" t="s">
        <v>343</v>
      </c>
      <c r="C155" s="20">
        <f t="shared" si="32"/>
        <v>350000</v>
      </c>
      <c r="D155" s="101">
        <v>20.0</v>
      </c>
      <c r="E155" s="20">
        <f t="shared" si="33"/>
        <v>17500</v>
      </c>
      <c r="F155" s="7"/>
      <c r="G155" s="7"/>
      <c r="H155" s="7"/>
      <c r="I155" s="7"/>
      <c r="J155" s="7"/>
      <c r="K155" s="7"/>
      <c r="L155" s="7"/>
      <c r="M155" s="7"/>
      <c r="N155" s="7"/>
    </row>
    <row r="156" ht="18.75" customHeight="1">
      <c r="A156" s="132"/>
      <c r="B156" s="133" t="s">
        <v>412</v>
      </c>
      <c r="C156" s="132"/>
      <c r="D156" s="132"/>
      <c r="E156" s="135">
        <f>E154+E155</f>
        <v>188380</v>
      </c>
      <c r="F156" s="132"/>
      <c r="G156" s="132"/>
      <c r="H156" s="132"/>
      <c r="I156" s="132"/>
      <c r="J156" s="132"/>
      <c r="K156" s="132"/>
      <c r="L156" s="132"/>
      <c r="M156" s="132"/>
      <c r="N156" s="132"/>
    </row>
    <row r="157">
      <c r="A157" s="7"/>
      <c r="B157" s="13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</row>
    <row r="158">
      <c r="A158" s="164"/>
      <c r="B158" s="165" t="s">
        <v>528</v>
      </c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5"/>
      <c r="O158" s="164"/>
      <c r="P158" s="164"/>
      <c r="Q158" s="164"/>
      <c r="R158" s="164"/>
      <c r="S158" s="164"/>
      <c r="T158" s="164"/>
      <c r="U158" s="164"/>
      <c r="V158" s="164"/>
      <c r="W158" s="164"/>
      <c r="X158" s="164"/>
      <c r="Y158" s="164"/>
      <c r="Z158" s="164"/>
    </row>
    <row r="159">
      <c r="A159" s="164"/>
      <c r="B159" s="186" t="s">
        <v>414</v>
      </c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5"/>
      <c r="O159" s="164"/>
      <c r="P159" s="164"/>
      <c r="Q159" s="164"/>
      <c r="R159" s="164"/>
      <c r="S159" s="164"/>
      <c r="T159" s="164"/>
      <c r="U159" s="164"/>
      <c r="V159" s="164"/>
      <c r="W159" s="164"/>
      <c r="X159" s="164"/>
      <c r="Y159" s="164"/>
      <c r="Z159" s="164"/>
    </row>
    <row r="160">
      <c r="A160" s="2"/>
      <c r="B160" s="92" t="s">
        <v>415</v>
      </c>
      <c r="C160" s="26">
        <f>C64*C29</f>
        <v>2319002.716</v>
      </c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>
      <c r="A161" s="7"/>
      <c r="B161" s="96" t="s">
        <v>416</v>
      </c>
      <c r="C161" s="24">
        <f t="shared" ref="C161:C162" si="34">C30</f>
        <v>0.135</v>
      </c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</row>
    <row r="162">
      <c r="A162" s="2"/>
      <c r="B162" s="92" t="s">
        <v>417</v>
      </c>
      <c r="C162" s="44">
        <f t="shared" si="34"/>
        <v>6</v>
      </c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>
      <c r="A163" s="7"/>
      <c r="B163" s="13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</row>
    <row r="164">
      <c r="A164" s="164"/>
      <c r="B164" s="178" t="s">
        <v>340</v>
      </c>
      <c r="C164" s="179" t="s">
        <v>418</v>
      </c>
      <c r="D164" s="179" t="s">
        <v>380</v>
      </c>
      <c r="E164" s="179" t="s">
        <v>381</v>
      </c>
      <c r="F164" s="179" t="s">
        <v>382</v>
      </c>
      <c r="G164" s="179" t="s">
        <v>383</v>
      </c>
      <c r="H164" s="179" t="s">
        <v>384</v>
      </c>
      <c r="I164" s="179" t="s">
        <v>385</v>
      </c>
      <c r="J164" s="179" t="s">
        <v>386</v>
      </c>
      <c r="K164" s="179" t="s">
        <v>387</v>
      </c>
      <c r="L164" s="179" t="s">
        <v>388</v>
      </c>
      <c r="M164" s="179" t="s">
        <v>389</v>
      </c>
      <c r="N164" s="185"/>
      <c r="O164" s="164"/>
      <c r="P164" s="164"/>
      <c r="Q164" s="164"/>
      <c r="R164" s="164"/>
      <c r="S164" s="164"/>
      <c r="T164" s="164"/>
      <c r="U164" s="164"/>
      <c r="V164" s="164"/>
      <c r="W164" s="164"/>
      <c r="X164" s="164"/>
      <c r="Y164" s="164"/>
      <c r="Z164" s="164"/>
    </row>
    <row r="165">
      <c r="A165" s="7"/>
      <c r="B165" s="96" t="s">
        <v>419</v>
      </c>
      <c r="C165" s="20">
        <v>0.0</v>
      </c>
      <c r="D165" s="20">
        <f t="shared" ref="D165:L165" si="35">C170</f>
        <v>2319002.716</v>
      </c>
      <c r="E165" s="20">
        <f t="shared" si="35"/>
        <v>1932502.264</v>
      </c>
      <c r="F165" s="20">
        <f t="shared" si="35"/>
        <v>1546001.811</v>
      </c>
      <c r="G165" s="20">
        <f t="shared" si="35"/>
        <v>1159501.358</v>
      </c>
      <c r="H165" s="20">
        <f t="shared" si="35"/>
        <v>773000.9054</v>
      </c>
      <c r="I165" s="20">
        <f t="shared" si="35"/>
        <v>386500.4527</v>
      </c>
      <c r="J165" s="20">
        <f t="shared" si="35"/>
        <v>-0.0000000003492459655</v>
      </c>
      <c r="K165" s="20">
        <f t="shared" si="35"/>
        <v>-0.0000000003492459655</v>
      </c>
      <c r="L165" s="20">
        <f t="shared" si="35"/>
        <v>-0.0000000003492459655</v>
      </c>
      <c r="M165" s="20">
        <f>L169</f>
        <v>0</v>
      </c>
      <c r="N165" s="7"/>
    </row>
    <row r="166">
      <c r="A166" s="2"/>
      <c r="B166" s="92" t="s">
        <v>420</v>
      </c>
      <c r="C166" s="26">
        <f>C160</f>
        <v>2319002.716</v>
      </c>
      <c r="D166" s="26">
        <v>0.0</v>
      </c>
      <c r="E166" s="26">
        <v>0.0</v>
      </c>
      <c r="F166" s="26">
        <v>0.0</v>
      </c>
      <c r="G166" s="26">
        <v>0.0</v>
      </c>
      <c r="H166" s="26">
        <v>0.0</v>
      </c>
      <c r="I166" s="26">
        <v>0.0</v>
      </c>
      <c r="J166" s="26">
        <v>0.0</v>
      </c>
      <c r="K166" s="26">
        <v>0.0</v>
      </c>
      <c r="L166" s="26">
        <v>0.0</v>
      </c>
      <c r="M166" s="26">
        <v>0.0</v>
      </c>
      <c r="N166" s="2"/>
    </row>
    <row r="167">
      <c r="A167" s="7"/>
      <c r="B167" s="96" t="s">
        <v>421</v>
      </c>
      <c r="C167" s="20">
        <v>0.0</v>
      </c>
      <c r="D167" s="20">
        <f>IF(1&lt;=C162,C160/C162,0)</f>
        <v>386500.4527</v>
      </c>
      <c r="E167" s="20">
        <f>IF(2&lt;=C162,C160/C162,0)</f>
        <v>386500.4527</v>
      </c>
      <c r="F167" s="20">
        <f>IF(3&lt;=C162,C160/C162,0)</f>
        <v>386500.4527</v>
      </c>
      <c r="G167" s="20">
        <f>IF(4&lt;=C162,C160/C162,0)</f>
        <v>386500.4527</v>
      </c>
      <c r="H167" s="20">
        <f>IF(5&lt;=C162,C160/C162,0)</f>
        <v>386500.4527</v>
      </c>
      <c r="I167" s="20">
        <f>IF(6&lt;=C162,C160/C162,0)</f>
        <v>386500.4527</v>
      </c>
      <c r="J167" s="20">
        <f>IF(7&lt;=C162,C160/C162,0)</f>
        <v>0</v>
      </c>
      <c r="K167" s="20">
        <f>IF(8&lt;=C162,C160/C162,0)</f>
        <v>0</v>
      </c>
      <c r="L167" s="20">
        <f>IF(9&lt;=C162,C160/C162,0)</f>
        <v>0</v>
      </c>
      <c r="M167" s="20">
        <f>IF(10&lt;=C162,C160/C162,0)</f>
        <v>0</v>
      </c>
      <c r="N167" s="7"/>
    </row>
    <row r="168">
      <c r="A168" s="2"/>
      <c r="B168" s="92" t="s">
        <v>422</v>
      </c>
      <c r="C168" s="26">
        <v>0.0</v>
      </c>
      <c r="D168" s="26">
        <f>D165*C161</f>
        <v>313065.3667</v>
      </c>
      <c r="E168" s="26">
        <f>E165*C161</f>
        <v>260887.8056</v>
      </c>
      <c r="F168" s="26">
        <f>F165*C161</f>
        <v>208710.2445</v>
      </c>
      <c r="G168" s="26">
        <f>G165*C161</f>
        <v>156532.6834</v>
      </c>
      <c r="H168" s="26">
        <f>H165*C161</f>
        <v>104355.1222</v>
      </c>
      <c r="I168" s="26">
        <f>I165*C161</f>
        <v>52177.56112</v>
      </c>
      <c r="J168" s="26">
        <f>J165*C161</f>
        <v>0</v>
      </c>
      <c r="K168" s="26">
        <f>K165*C161</f>
        <v>0</v>
      </c>
      <c r="L168" s="26">
        <f>L165*C161</f>
        <v>0</v>
      </c>
      <c r="M168" s="26">
        <f>M165*C161</f>
        <v>0</v>
      </c>
      <c r="N168" s="2"/>
    </row>
    <row r="169">
      <c r="A169" s="7"/>
      <c r="B169" s="163" t="s">
        <v>423</v>
      </c>
      <c r="C169" s="34">
        <v>0.0</v>
      </c>
      <c r="D169" s="34">
        <f t="shared" ref="D169:M169" si="36">D167+D168</f>
        <v>699565.8194</v>
      </c>
      <c r="E169" s="34">
        <f t="shared" si="36"/>
        <v>647388.2583</v>
      </c>
      <c r="F169" s="34">
        <f t="shared" si="36"/>
        <v>595210.6972</v>
      </c>
      <c r="G169" s="34">
        <f t="shared" si="36"/>
        <v>543033.1361</v>
      </c>
      <c r="H169" s="34">
        <f t="shared" si="36"/>
        <v>490855.575</v>
      </c>
      <c r="I169" s="34">
        <f t="shared" si="36"/>
        <v>438678.0138</v>
      </c>
      <c r="J169" s="34">
        <f t="shared" si="36"/>
        <v>0</v>
      </c>
      <c r="K169" s="34">
        <f t="shared" si="36"/>
        <v>0</v>
      </c>
      <c r="L169" s="34">
        <f t="shared" si="36"/>
        <v>0</v>
      </c>
      <c r="M169" s="34">
        <f t="shared" si="36"/>
        <v>0</v>
      </c>
      <c r="N169" s="7"/>
    </row>
    <row r="170">
      <c r="A170" s="2"/>
      <c r="B170" s="92" t="s">
        <v>424</v>
      </c>
      <c r="C170" s="26">
        <f t="shared" ref="C170:M170" si="37">C165+C166-C167</f>
        <v>2319002.716</v>
      </c>
      <c r="D170" s="26">
        <f t="shared" si="37"/>
        <v>1932502.264</v>
      </c>
      <c r="E170" s="26">
        <f t="shared" si="37"/>
        <v>1546001.811</v>
      </c>
      <c r="F170" s="26">
        <f t="shared" si="37"/>
        <v>1159501.358</v>
      </c>
      <c r="G170" s="26">
        <f t="shared" si="37"/>
        <v>773000.9054</v>
      </c>
      <c r="H170" s="26">
        <f t="shared" si="37"/>
        <v>386500.4527</v>
      </c>
      <c r="I170" s="26">
        <f t="shared" si="37"/>
        <v>-0.0000000003492459655</v>
      </c>
      <c r="J170" s="26">
        <f t="shared" si="37"/>
        <v>-0.0000000003492459655</v>
      </c>
      <c r="K170" s="26">
        <f t="shared" si="37"/>
        <v>-0.0000000003492459655</v>
      </c>
      <c r="L170" s="26">
        <f t="shared" si="37"/>
        <v>-0.0000000003492459655</v>
      </c>
      <c r="M170" s="26">
        <f t="shared" si="37"/>
        <v>0</v>
      </c>
      <c r="N170" s="2"/>
    </row>
    <row r="171">
      <c r="A171" s="7"/>
      <c r="B171" s="96" t="s">
        <v>425</v>
      </c>
      <c r="C171" s="166" t="s">
        <v>426</v>
      </c>
      <c r="D171" s="45">
        <f t="shared" ref="D171:M171" si="38">IF(D169=0,"-",C104/D169)</f>
        <v>-5.820650745</v>
      </c>
      <c r="E171" s="45">
        <f t="shared" si="38"/>
        <v>-9.43466673</v>
      </c>
      <c r="F171" s="45">
        <f t="shared" si="38"/>
        <v>-13.68230889</v>
      </c>
      <c r="G171" s="45">
        <f t="shared" si="38"/>
        <v>-14.99697914</v>
      </c>
      <c r="H171" s="45">
        <f t="shared" si="38"/>
        <v>-16.59114622</v>
      </c>
      <c r="I171" s="45">
        <f t="shared" si="38"/>
        <v>-18.56454246</v>
      </c>
      <c r="J171" s="45">
        <f t="shared" si="38"/>
        <v>1.72729E+17</v>
      </c>
      <c r="K171" s="45">
        <f t="shared" si="38"/>
        <v>1.72729E+17</v>
      </c>
      <c r="L171" s="45">
        <f t="shared" si="38"/>
        <v>1.72729E+17</v>
      </c>
      <c r="M171" s="45">
        <f t="shared" si="38"/>
        <v>1.27947E+18</v>
      </c>
      <c r="N171" s="7"/>
    </row>
    <row r="172">
      <c r="A172" s="2"/>
      <c r="B172" s="11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>
      <c r="A173" s="7"/>
      <c r="B173" s="113" t="s">
        <v>427</v>
      </c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5"/>
    </row>
    <row r="174">
      <c r="A174" s="2"/>
      <c r="B174" s="92" t="s">
        <v>415</v>
      </c>
      <c r="C174" s="26">
        <f>C64*C29</f>
        <v>2319002.716</v>
      </c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>
      <c r="A175" s="7"/>
      <c r="B175" s="96" t="s">
        <v>416</v>
      </c>
      <c r="C175" s="24">
        <f t="shared" ref="C175:C176" si="39">C30</f>
        <v>0.135</v>
      </c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</row>
    <row r="176">
      <c r="A176" s="2"/>
      <c r="B176" s="92" t="s">
        <v>417</v>
      </c>
      <c r="C176" s="44">
        <f t="shared" si="39"/>
        <v>6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>
      <c r="A177" s="7"/>
      <c r="B177" s="13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</row>
    <row r="178">
      <c r="A178" s="164"/>
      <c r="B178" s="178" t="s">
        <v>340</v>
      </c>
      <c r="C178" s="179" t="s">
        <v>418</v>
      </c>
      <c r="D178" s="179" t="s">
        <v>380</v>
      </c>
      <c r="E178" s="179" t="s">
        <v>381</v>
      </c>
      <c r="F178" s="179" t="s">
        <v>382</v>
      </c>
      <c r="G178" s="179" t="s">
        <v>383</v>
      </c>
      <c r="H178" s="179" t="s">
        <v>384</v>
      </c>
      <c r="I178" s="179" t="s">
        <v>385</v>
      </c>
      <c r="J178" s="179" t="s">
        <v>386</v>
      </c>
      <c r="K178" s="179" t="s">
        <v>387</v>
      </c>
      <c r="L178" s="179" t="s">
        <v>388</v>
      </c>
      <c r="M178" s="179" t="s">
        <v>389</v>
      </c>
      <c r="N178" s="185"/>
      <c r="O178" s="164"/>
      <c r="P178" s="164"/>
      <c r="Q178" s="164"/>
      <c r="R178" s="164"/>
      <c r="S178" s="164"/>
      <c r="T178" s="164"/>
      <c r="U178" s="164"/>
      <c r="V178" s="164"/>
      <c r="W178" s="164"/>
      <c r="X178" s="164"/>
      <c r="Y178" s="164"/>
      <c r="Z178" s="164"/>
    </row>
    <row r="179">
      <c r="A179" s="7"/>
      <c r="B179" s="96" t="s">
        <v>419</v>
      </c>
      <c r="C179" s="20">
        <v>0.0</v>
      </c>
      <c r="D179" s="20">
        <f t="shared" ref="D179:L179" si="40">C184</f>
        <v>2319002.716</v>
      </c>
      <c r="E179" s="20">
        <f t="shared" si="40"/>
        <v>1932502.264</v>
      </c>
      <c r="F179" s="20">
        <f t="shared" si="40"/>
        <v>1546001.811</v>
      </c>
      <c r="G179" s="20">
        <f t="shared" si="40"/>
        <v>1159501.358</v>
      </c>
      <c r="H179" s="20">
        <f t="shared" si="40"/>
        <v>773000.9054</v>
      </c>
      <c r="I179" s="20">
        <f t="shared" si="40"/>
        <v>386500.4527</v>
      </c>
      <c r="J179" s="20">
        <f t="shared" si="40"/>
        <v>-0.0000000003492459655</v>
      </c>
      <c r="K179" s="20">
        <f t="shared" si="40"/>
        <v>-0.0000000003492459655</v>
      </c>
      <c r="L179" s="20">
        <f t="shared" si="40"/>
        <v>-0.0000000003492459655</v>
      </c>
      <c r="M179" s="20">
        <f>L183</f>
        <v>0</v>
      </c>
      <c r="N179" s="7"/>
    </row>
    <row r="180">
      <c r="A180" s="2"/>
      <c r="B180" s="92" t="s">
        <v>420</v>
      </c>
      <c r="C180" s="26">
        <f>C174</f>
        <v>2319002.716</v>
      </c>
      <c r="D180" s="26">
        <v>0.0</v>
      </c>
      <c r="E180" s="26">
        <v>0.0</v>
      </c>
      <c r="F180" s="26">
        <v>0.0</v>
      </c>
      <c r="G180" s="26">
        <v>0.0</v>
      </c>
      <c r="H180" s="26">
        <v>0.0</v>
      </c>
      <c r="I180" s="26">
        <v>0.0</v>
      </c>
      <c r="J180" s="26">
        <v>0.0</v>
      </c>
      <c r="K180" s="26">
        <v>0.0</v>
      </c>
      <c r="L180" s="26">
        <v>0.0</v>
      </c>
      <c r="M180" s="26">
        <v>0.0</v>
      </c>
      <c r="N180" s="2"/>
    </row>
    <row r="181">
      <c r="A181" s="7"/>
      <c r="B181" s="96" t="s">
        <v>421</v>
      </c>
      <c r="C181" s="20">
        <v>0.0</v>
      </c>
      <c r="D181" s="20">
        <f>IF(1&lt;=C176,C174/C176,0)</f>
        <v>386500.4527</v>
      </c>
      <c r="E181" s="20">
        <f>IF(2&lt;=C176,C174/C176,0)</f>
        <v>386500.4527</v>
      </c>
      <c r="F181" s="20">
        <f>IF(3&lt;=C176,C174/C176,0)</f>
        <v>386500.4527</v>
      </c>
      <c r="G181" s="20">
        <f>IF(4&lt;=C176,C174/C176,0)</f>
        <v>386500.4527</v>
      </c>
      <c r="H181" s="20">
        <f>IF(5&lt;=C176,C174/C176,0)</f>
        <v>386500.4527</v>
      </c>
      <c r="I181" s="20">
        <f>IF(6&lt;=C176,C174/C176,0)</f>
        <v>386500.4527</v>
      </c>
      <c r="J181" s="20">
        <f>IF(7&lt;=C176,C174/C176,0)</f>
        <v>0</v>
      </c>
      <c r="K181" s="20">
        <f>IF(8&lt;=C176,C174/C176,0)</f>
        <v>0</v>
      </c>
      <c r="L181" s="20">
        <f>IF(9&lt;=C176,C174/C176,0)</f>
        <v>0</v>
      </c>
      <c r="M181" s="20">
        <f>IF(10&lt;=C176,C174/C176,0)</f>
        <v>0</v>
      </c>
      <c r="N181" s="7"/>
    </row>
    <row r="182">
      <c r="A182" s="2"/>
      <c r="B182" s="92" t="s">
        <v>422</v>
      </c>
      <c r="C182" s="26">
        <v>0.0</v>
      </c>
      <c r="D182" s="26">
        <f>D179*C175</f>
        <v>313065.3667</v>
      </c>
      <c r="E182" s="26">
        <f>E179*C175</f>
        <v>260887.8056</v>
      </c>
      <c r="F182" s="26">
        <f>F179*C175</f>
        <v>208710.2445</v>
      </c>
      <c r="G182" s="26">
        <f>G179*C175</f>
        <v>156532.6834</v>
      </c>
      <c r="H182" s="26">
        <f>H179*C175</f>
        <v>104355.1222</v>
      </c>
      <c r="I182" s="26">
        <f>I179*C175</f>
        <v>52177.56112</v>
      </c>
      <c r="J182" s="26">
        <f>J179*C175</f>
        <v>0</v>
      </c>
      <c r="K182" s="26">
        <f>K179*C175</f>
        <v>0</v>
      </c>
      <c r="L182" s="26">
        <f>L179*C175</f>
        <v>0</v>
      </c>
      <c r="M182" s="26">
        <f>M179*C175</f>
        <v>0</v>
      </c>
      <c r="N182" s="2"/>
    </row>
    <row r="183">
      <c r="A183" s="7"/>
      <c r="B183" s="163" t="s">
        <v>423</v>
      </c>
      <c r="C183" s="34">
        <v>0.0</v>
      </c>
      <c r="D183" s="34">
        <f t="shared" ref="D183:M183" si="41">D181+D182</f>
        <v>699565.8194</v>
      </c>
      <c r="E183" s="34">
        <f t="shared" si="41"/>
        <v>647388.2583</v>
      </c>
      <c r="F183" s="34">
        <f t="shared" si="41"/>
        <v>595210.6972</v>
      </c>
      <c r="G183" s="34">
        <f t="shared" si="41"/>
        <v>543033.1361</v>
      </c>
      <c r="H183" s="34">
        <f t="shared" si="41"/>
        <v>490855.575</v>
      </c>
      <c r="I183" s="34">
        <f t="shared" si="41"/>
        <v>438678.0138</v>
      </c>
      <c r="J183" s="34">
        <f t="shared" si="41"/>
        <v>0</v>
      </c>
      <c r="K183" s="34">
        <f t="shared" si="41"/>
        <v>0</v>
      </c>
      <c r="L183" s="34">
        <f t="shared" si="41"/>
        <v>0</v>
      </c>
      <c r="M183" s="34">
        <f t="shared" si="41"/>
        <v>0</v>
      </c>
      <c r="N183" s="7"/>
    </row>
    <row r="184">
      <c r="A184" s="2"/>
      <c r="B184" s="92" t="s">
        <v>424</v>
      </c>
      <c r="C184" s="26">
        <f t="shared" ref="C184:M184" si="42">C179+C180-C181</f>
        <v>2319002.716</v>
      </c>
      <c r="D184" s="26">
        <f t="shared" si="42"/>
        <v>1932502.264</v>
      </c>
      <c r="E184" s="26">
        <f t="shared" si="42"/>
        <v>1546001.811</v>
      </c>
      <c r="F184" s="26">
        <f t="shared" si="42"/>
        <v>1159501.358</v>
      </c>
      <c r="G184" s="26">
        <f t="shared" si="42"/>
        <v>773000.9054</v>
      </c>
      <c r="H184" s="26">
        <f t="shared" si="42"/>
        <v>386500.4527</v>
      </c>
      <c r="I184" s="26">
        <f t="shared" si="42"/>
        <v>-0.0000000003492459655</v>
      </c>
      <c r="J184" s="26">
        <f t="shared" si="42"/>
        <v>-0.0000000003492459655</v>
      </c>
      <c r="K184" s="26">
        <f t="shared" si="42"/>
        <v>-0.0000000003492459655</v>
      </c>
      <c r="L184" s="26">
        <f t="shared" si="42"/>
        <v>-0.0000000003492459655</v>
      </c>
      <c r="M184" s="26">
        <f t="shared" si="42"/>
        <v>0</v>
      </c>
      <c r="N184" s="2"/>
    </row>
    <row r="185">
      <c r="A185" s="7"/>
      <c r="B185" s="96" t="s">
        <v>425</v>
      </c>
      <c r="C185" s="166" t="s">
        <v>426</v>
      </c>
      <c r="D185" s="45">
        <f t="shared" ref="D185:M185" si="43">IF(D183=0,"-",C122/D183)</f>
        <v>7.20277152</v>
      </c>
      <c r="E185" s="45">
        <f t="shared" si="43"/>
        <v>11.67494011</v>
      </c>
      <c r="F185" s="45">
        <f t="shared" si="43"/>
        <v>16.9311902</v>
      </c>
      <c r="G185" s="45">
        <f t="shared" si="43"/>
        <v>18.55803054</v>
      </c>
      <c r="H185" s="45">
        <f t="shared" si="43"/>
        <v>20.53073457</v>
      </c>
      <c r="I185" s="45">
        <f t="shared" si="43"/>
        <v>22.97271621</v>
      </c>
      <c r="J185" s="45">
        <f t="shared" si="43"/>
        <v>-2.13744E+17</v>
      </c>
      <c r="K185" s="45">
        <f t="shared" si="43"/>
        <v>-2.13744E+17</v>
      </c>
      <c r="L185" s="45">
        <f t="shared" si="43"/>
        <v>-2.13744E+17</v>
      </c>
      <c r="M185" s="45">
        <f t="shared" si="43"/>
        <v>-1.58329E+18</v>
      </c>
      <c r="N185" s="7"/>
    </row>
    <row r="186">
      <c r="A186" s="2"/>
      <c r="B186" s="11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>
      <c r="A187" s="7"/>
      <c r="B187" s="113" t="s">
        <v>428</v>
      </c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5"/>
    </row>
    <row r="188">
      <c r="A188" s="2"/>
      <c r="B188" s="92" t="s">
        <v>415</v>
      </c>
      <c r="C188" s="26">
        <f>C64*C29</f>
        <v>2319002.716</v>
      </c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>
      <c r="A189" s="7"/>
      <c r="B189" s="96" t="s">
        <v>416</v>
      </c>
      <c r="C189" s="24">
        <f t="shared" ref="C189:C190" si="44">C30</f>
        <v>0.135</v>
      </c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</row>
    <row r="190">
      <c r="A190" s="2"/>
      <c r="B190" s="92" t="s">
        <v>417</v>
      </c>
      <c r="C190" s="44">
        <f t="shared" si="44"/>
        <v>6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>
      <c r="A191" s="7"/>
      <c r="B191" s="13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</row>
    <row r="192">
      <c r="A192" s="164"/>
      <c r="B192" s="178" t="s">
        <v>340</v>
      </c>
      <c r="C192" s="179" t="s">
        <v>418</v>
      </c>
      <c r="D192" s="179" t="s">
        <v>380</v>
      </c>
      <c r="E192" s="179" t="s">
        <v>381</v>
      </c>
      <c r="F192" s="179" t="s">
        <v>382</v>
      </c>
      <c r="G192" s="179" t="s">
        <v>383</v>
      </c>
      <c r="H192" s="179" t="s">
        <v>384</v>
      </c>
      <c r="I192" s="179" t="s">
        <v>385</v>
      </c>
      <c r="J192" s="179" t="s">
        <v>386</v>
      </c>
      <c r="K192" s="179" t="s">
        <v>387</v>
      </c>
      <c r="L192" s="179" t="s">
        <v>388</v>
      </c>
      <c r="M192" s="179" t="s">
        <v>389</v>
      </c>
      <c r="N192" s="185"/>
      <c r="O192" s="164"/>
      <c r="P192" s="164"/>
      <c r="Q192" s="164"/>
      <c r="R192" s="164"/>
      <c r="S192" s="164"/>
      <c r="T192" s="164"/>
      <c r="U192" s="164"/>
      <c r="V192" s="164"/>
      <c r="W192" s="164"/>
      <c r="X192" s="164"/>
      <c r="Y192" s="164"/>
      <c r="Z192" s="164"/>
    </row>
    <row r="193">
      <c r="A193" s="7"/>
      <c r="B193" s="96" t="s">
        <v>419</v>
      </c>
      <c r="C193" s="20">
        <v>0.0</v>
      </c>
      <c r="D193" s="20">
        <f t="shared" ref="D193:L193" si="45">C198</f>
        <v>2319002.716</v>
      </c>
      <c r="E193" s="20">
        <f t="shared" si="45"/>
        <v>1932502.264</v>
      </c>
      <c r="F193" s="20">
        <f t="shared" si="45"/>
        <v>1546001.811</v>
      </c>
      <c r="G193" s="20">
        <f t="shared" si="45"/>
        <v>1159501.358</v>
      </c>
      <c r="H193" s="20">
        <f t="shared" si="45"/>
        <v>773000.9054</v>
      </c>
      <c r="I193" s="20">
        <f t="shared" si="45"/>
        <v>386500.4527</v>
      </c>
      <c r="J193" s="20">
        <f t="shared" si="45"/>
        <v>-0.0000000003492459655</v>
      </c>
      <c r="K193" s="20">
        <f t="shared" si="45"/>
        <v>-0.0000000003492459655</v>
      </c>
      <c r="L193" s="20">
        <f t="shared" si="45"/>
        <v>-0.0000000003492459655</v>
      </c>
      <c r="M193" s="20">
        <f>L197</f>
        <v>0</v>
      </c>
      <c r="N193" s="7"/>
    </row>
    <row r="194">
      <c r="A194" s="2"/>
      <c r="B194" s="92" t="s">
        <v>420</v>
      </c>
      <c r="C194" s="26">
        <f>C188</f>
        <v>2319002.716</v>
      </c>
      <c r="D194" s="26">
        <v>0.0</v>
      </c>
      <c r="E194" s="26">
        <v>0.0</v>
      </c>
      <c r="F194" s="26">
        <v>0.0</v>
      </c>
      <c r="G194" s="26">
        <v>0.0</v>
      </c>
      <c r="H194" s="26">
        <v>0.0</v>
      </c>
      <c r="I194" s="26">
        <v>0.0</v>
      </c>
      <c r="J194" s="26">
        <v>0.0</v>
      </c>
      <c r="K194" s="26">
        <v>0.0</v>
      </c>
      <c r="L194" s="26">
        <v>0.0</v>
      </c>
      <c r="M194" s="26">
        <v>0.0</v>
      </c>
      <c r="N194" s="2"/>
    </row>
    <row r="195">
      <c r="A195" s="7"/>
      <c r="B195" s="96" t="s">
        <v>421</v>
      </c>
      <c r="C195" s="20">
        <v>0.0</v>
      </c>
      <c r="D195" s="20">
        <f>IF(1&lt;=C190,C188/C190,0)</f>
        <v>386500.4527</v>
      </c>
      <c r="E195" s="20">
        <f>IF(2&lt;=C190,C188/C190,0)</f>
        <v>386500.4527</v>
      </c>
      <c r="F195" s="20">
        <f>IF(3&lt;=C190,C188/C190,0)</f>
        <v>386500.4527</v>
      </c>
      <c r="G195" s="20">
        <f>IF(4&lt;=C190,C188/C190,0)</f>
        <v>386500.4527</v>
      </c>
      <c r="H195" s="20">
        <f>IF(5&lt;=C190,C188/C190,0)</f>
        <v>386500.4527</v>
      </c>
      <c r="I195" s="20">
        <f>IF(6&lt;=C190,C188/C190,0)</f>
        <v>386500.4527</v>
      </c>
      <c r="J195" s="20">
        <f>IF(7&lt;=C190,C188/C190,0)</f>
        <v>0</v>
      </c>
      <c r="K195" s="20">
        <f>IF(8&lt;=C190,C188/C190,0)</f>
        <v>0</v>
      </c>
      <c r="L195" s="20">
        <f>IF(9&lt;=C190,C188/C190,0)</f>
        <v>0</v>
      </c>
      <c r="M195" s="20">
        <f>IF(10&lt;=C190,C188/C190,0)</f>
        <v>0</v>
      </c>
      <c r="N195" s="7"/>
    </row>
    <row r="196">
      <c r="A196" s="2"/>
      <c r="B196" s="92" t="s">
        <v>422</v>
      </c>
      <c r="C196" s="26">
        <v>0.0</v>
      </c>
      <c r="D196" s="26">
        <f>D193*C189</f>
        <v>313065.3667</v>
      </c>
      <c r="E196" s="26">
        <f>E193*C189</f>
        <v>260887.8056</v>
      </c>
      <c r="F196" s="26">
        <f>F193*C189</f>
        <v>208710.2445</v>
      </c>
      <c r="G196" s="26">
        <f>G193*C189</f>
        <v>156532.6834</v>
      </c>
      <c r="H196" s="26">
        <f>H193*C189</f>
        <v>104355.1222</v>
      </c>
      <c r="I196" s="26">
        <f>I193*C189</f>
        <v>52177.56112</v>
      </c>
      <c r="J196" s="26">
        <f>J193*C189</f>
        <v>0</v>
      </c>
      <c r="K196" s="26">
        <f>K193*C189</f>
        <v>0</v>
      </c>
      <c r="L196" s="26">
        <f>L193*C189</f>
        <v>0</v>
      </c>
      <c r="M196" s="26">
        <f>M193*C189</f>
        <v>0</v>
      </c>
      <c r="N196" s="2"/>
    </row>
    <row r="197">
      <c r="A197" s="7"/>
      <c r="B197" s="163" t="s">
        <v>423</v>
      </c>
      <c r="C197" s="34">
        <v>0.0</v>
      </c>
      <c r="D197" s="34">
        <f t="shared" ref="D197:M197" si="46">D195+D196</f>
        <v>699565.8194</v>
      </c>
      <c r="E197" s="34">
        <f t="shared" si="46"/>
        <v>647388.2583</v>
      </c>
      <c r="F197" s="34">
        <f t="shared" si="46"/>
        <v>595210.6972</v>
      </c>
      <c r="G197" s="34">
        <f t="shared" si="46"/>
        <v>543033.1361</v>
      </c>
      <c r="H197" s="34">
        <f t="shared" si="46"/>
        <v>490855.575</v>
      </c>
      <c r="I197" s="34">
        <f t="shared" si="46"/>
        <v>438678.0138</v>
      </c>
      <c r="J197" s="34">
        <f t="shared" si="46"/>
        <v>0</v>
      </c>
      <c r="K197" s="34">
        <f t="shared" si="46"/>
        <v>0</v>
      </c>
      <c r="L197" s="34">
        <f t="shared" si="46"/>
        <v>0</v>
      </c>
      <c r="M197" s="34">
        <f t="shared" si="46"/>
        <v>0</v>
      </c>
      <c r="N197" s="7"/>
    </row>
    <row r="198">
      <c r="A198" s="2"/>
      <c r="B198" s="92" t="s">
        <v>424</v>
      </c>
      <c r="C198" s="26">
        <f t="shared" ref="C198:M198" si="47">C193+C194-C195</f>
        <v>2319002.716</v>
      </c>
      <c r="D198" s="26">
        <f t="shared" si="47"/>
        <v>1932502.264</v>
      </c>
      <c r="E198" s="26">
        <f t="shared" si="47"/>
        <v>1546001.811</v>
      </c>
      <c r="F198" s="26">
        <f t="shared" si="47"/>
        <v>1159501.358</v>
      </c>
      <c r="G198" s="26">
        <f t="shared" si="47"/>
        <v>773000.9054</v>
      </c>
      <c r="H198" s="26">
        <f t="shared" si="47"/>
        <v>386500.4527</v>
      </c>
      <c r="I198" s="26">
        <f t="shared" si="47"/>
        <v>-0.0000000003492459655</v>
      </c>
      <c r="J198" s="26">
        <f t="shared" si="47"/>
        <v>-0.0000000003492459655</v>
      </c>
      <c r="K198" s="26">
        <f t="shared" si="47"/>
        <v>-0.0000000003492459655</v>
      </c>
      <c r="L198" s="26">
        <f t="shared" si="47"/>
        <v>-0.0000000003492459655</v>
      </c>
      <c r="M198" s="26">
        <f t="shared" si="47"/>
        <v>0</v>
      </c>
      <c r="N198" s="2"/>
    </row>
    <row r="199">
      <c r="A199" s="7"/>
      <c r="B199" s="96" t="s">
        <v>425</v>
      </c>
      <c r="C199" s="166" t="s">
        <v>426</v>
      </c>
      <c r="D199" s="45">
        <f t="shared" ref="D199:M199" si="48">IF(D197=0,"-",C140/D197)</f>
        <v>77.47278163</v>
      </c>
      <c r="E199" s="45">
        <f t="shared" si="48"/>
        <v>125.5752849</v>
      </c>
      <c r="F199" s="45">
        <f t="shared" si="48"/>
        <v>182.1113438</v>
      </c>
      <c r="G199" s="45">
        <f t="shared" si="48"/>
        <v>199.6095868</v>
      </c>
      <c r="H199" s="45">
        <f t="shared" si="48"/>
        <v>220.8279287</v>
      </c>
      <c r="I199" s="45">
        <f t="shared" si="48"/>
        <v>247.0938057</v>
      </c>
      <c r="J199" s="45">
        <f t="shared" si="48"/>
        <v>-2.29902E+18</v>
      </c>
      <c r="K199" s="45">
        <f t="shared" si="48"/>
        <v>-2.29902E+18</v>
      </c>
      <c r="L199" s="45">
        <f t="shared" si="48"/>
        <v>-2.29902E+18</v>
      </c>
      <c r="M199" s="45">
        <f t="shared" si="48"/>
        <v>-1.70298E+19</v>
      </c>
      <c r="N199" s="7"/>
    </row>
    <row r="200">
      <c r="A200" s="2"/>
      <c r="B200" s="11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>
      <c r="A201" s="7"/>
      <c r="B201" s="168" t="s">
        <v>529</v>
      </c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5"/>
    </row>
    <row r="202">
      <c r="A202" s="164"/>
      <c r="B202" s="186" t="s">
        <v>430</v>
      </c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5"/>
      <c r="O202" s="164"/>
      <c r="P202" s="164"/>
      <c r="Q202" s="164"/>
      <c r="R202" s="164"/>
      <c r="S202" s="164"/>
      <c r="T202" s="164"/>
      <c r="U202" s="164"/>
      <c r="V202" s="164"/>
      <c r="W202" s="164"/>
      <c r="X202" s="164"/>
      <c r="Y202" s="164"/>
      <c r="Z202" s="164"/>
    </row>
    <row r="203">
      <c r="A203" s="164"/>
      <c r="B203" s="178" t="s">
        <v>340</v>
      </c>
      <c r="C203" s="179" t="s">
        <v>418</v>
      </c>
      <c r="D203" s="179" t="s">
        <v>380</v>
      </c>
      <c r="E203" s="179" t="s">
        <v>381</v>
      </c>
      <c r="F203" s="179" t="s">
        <v>382</v>
      </c>
      <c r="G203" s="179" t="s">
        <v>383</v>
      </c>
      <c r="H203" s="179" t="s">
        <v>384</v>
      </c>
      <c r="I203" s="179" t="s">
        <v>385</v>
      </c>
      <c r="J203" s="179" t="s">
        <v>386</v>
      </c>
      <c r="K203" s="179" t="s">
        <v>387</v>
      </c>
      <c r="L203" s="179" t="s">
        <v>388</v>
      </c>
      <c r="M203" s="179" t="s">
        <v>389</v>
      </c>
      <c r="N203" s="185"/>
      <c r="O203" s="164"/>
      <c r="P203" s="164"/>
      <c r="Q203" s="164"/>
      <c r="R203" s="164"/>
      <c r="S203" s="164"/>
      <c r="T203" s="164"/>
      <c r="U203" s="164"/>
      <c r="V203" s="164"/>
      <c r="W203" s="164"/>
      <c r="X203" s="164"/>
      <c r="Y203" s="164"/>
      <c r="Z203" s="164"/>
    </row>
    <row r="204" ht="18.75" customHeight="1">
      <c r="A204" s="160"/>
      <c r="B204" s="170" t="s">
        <v>393</v>
      </c>
      <c r="C204" s="162">
        <v>0.0</v>
      </c>
      <c r="D204" s="162">
        <f t="shared" ref="D204:M204" si="49">C104</f>
        <v>-4071928.308</v>
      </c>
      <c r="E204" s="162">
        <f t="shared" si="49"/>
        <v>-6107892.462</v>
      </c>
      <c r="F204" s="162">
        <f t="shared" si="49"/>
        <v>-8143856.616</v>
      </c>
      <c r="G204" s="162">
        <f t="shared" si="49"/>
        <v>-8143856.616</v>
      </c>
      <c r="H204" s="162">
        <f t="shared" si="49"/>
        <v>-8143856.616</v>
      </c>
      <c r="I204" s="162">
        <f t="shared" si="49"/>
        <v>-8143856.616</v>
      </c>
      <c r="J204" s="162">
        <f t="shared" si="49"/>
        <v>-8143856.616</v>
      </c>
      <c r="K204" s="162">
        <f t="shared" si="49"/>
        <v>-8143856.616</v>
      </c>
      <c r="L204" s="162">
        <f t="shared" si="49"/>
        <v>-8143856.616</v>
      </c>
      <c r="M204" s="162">
        <f t="shared" si="49"/>
        <v>-8143856.616</v>
      </c>
      <c r="N204" s="160"/>
    </row>
    <row r="205">
      <c r="A205" s="7"/>
      <c r="B205" s="96" t="s">
        <v>431</v>
      </c>
      <c r="C205" s="20">
        <f>-C64</f>
        <v>-3865004.527</v>
      </c>
      <c r="D205" s="20">
        <v>0.0</v>
      </c>
      <c r="E205" s="20">
        <v>0.0</v>
      </c>
      <c r="F205" s="20">
        <v>0.0</v>
      </c>
      <c r="G205" s="20">
        <v>0.0</v>
      </c>
      <c r="H205" s="20">
        <v>0.0</v>
      </c>
      <c r="I205" s="20">
        <v>0.0</v>
      </c>
      <c r="J205" s="20">
        <v>0.0</v>
      </c>
      <c r="K205" s="20">
        <v>0.0</v>
      </c>
      <c r="L205" s="20">
        <v>0.0</v>
      </c>
      <c r="M205" s="20">
        <v>0.0</v>
      </c>
      <c r="N205" s="7"/>
    </row>
    <row r="206">
      <c r="A206" s="2"/>
      <c r="B206" s="92" t="s">
        <v>432</v>
      </c>
      <c r="C206" s="26">
        <v>0.0</v>
      </c>
      <c r="D206" s="26">
        <v>0.0</v>
      </c>
      <c r="E206" s="26">
        <v>0.0</v>
      </c>
      <c r="F206" s="26">
        <v>0.0</v>
      </c>
      <c r="G206" s="26">
        <v>0.0</v>
      </c>
      <c r="H206" s="26">
        <v>0.0</v>
      </c>
      <c r="I206" s="26">
        <v>0.0</v>
      </c>
      <c r="J206" s="26">
        <v>0.0</v>
      </c>
      <c r="K206" s="26">
        <v>0.0</v>
      </c>
      <c r="L206" s="26">
        <v>0.0</v>
      </c>
      <c r="M206" s="26">
        <v>0.0</v>
      </c>
      <c r="N206" s="2"/>
    </row>
    <row r="207">
      <c r="A207" s="7"/>
      <c r="B207" s="96" t="s">
        <v>433</v>
      </c>
      <c r="C207" s="20">
        <f>-C63</f>
        <v>-1711204.527</v>
      </c>
      <c r="D207" s="20">
        <v>0.0</v>
      </c>
      <c r="E207" s="20">
        <v>0.0</v>
      </c>
      <c r="F207" s="20">
        <v>0.0</v>
      </c>
      <c r="G207" s="20">
        <v>0.0</v>
      </c>
      <c r="H207" s="20">
        <v>0.0</v>
      </c>
      <c r="I207" s="20">
        <v>0.0</v>
      </c>
      <c r="J207" s="20">
        <v>0.0</v>
      </c>
      <c r="K207" s="20">
        <v>0.0</v>
      </c>
      <c r="L207" s="20">
        <v>0.0</v>
      </c>
      <c r="M207" s="20">
        <v>0.0</v>
      </c>
      <c r="N207" s="7"/>
    </row>
    <row r="208">
      <c r="A208" s="2"/>
      <c r="B208" s="92" t="s">
        <v>434</v>
      </c>
      <c r="C208" s="26">
        <v>0.0</v>
      </c>
      <c r="D208" s="26">
        <f t="shared" ref="D208:M208" si="50">-D169</f>
        <v>-699565.8194</v>
      </c>
      <c r="E208" s="26">
        <f t="shared" si="50"/>
        <v>-647388.2583</v>
      </c>
      <c r="F208" s="26">
        <f t="shared" si="50"/>
        <v>-595210.6972</v>
      </c>
      <c r="G208" s="26">
        <f t="shared" si="50"/>
        <v>-543033.1361</v>
      </c>
      <c r="H208" s="26">
        <f t="shared" si="50"/>
        <v>-490855.575</v>
      </c>
      <c r="I208" s="26">
        <f t="shared" si="50"/>
        <v>-438678.0138</v>
      </c>
      <c r="J208" s="26">
        <f t="shared" si="50"/>
        <v>0</v>
      </c>
      <c r="K208" s="26">
        <f t="shared" si="50"/>
        <v>0</v>
      </c>
      <c r="L208" s="26">
        <f t="shared" si="50"/>
        <v>0</v>
      </c>
      <c r="M208" s="26">
        <f t="shared" si="50"/>
        <v>0</v>
      </c>
      <c r="N208" s="2"/>
    </row>
    <row r="209">
      <c r="A209" s="7"/>
      <c r="B209" s="163" t="s">
        <v>435</v>
      </c>
      <c r="C209" s="34">
        <f t="shared" ref="C209:M209" si="51">C204+C205+C206+C207+C208</f>
        <v>-5576209.054</v>
      </c>
      <c r="D209" s="34">
        <f t="shared" si="51"/>
        <v>-4771494.127</v>
      </c>
      <c r="E209" s="34">
        <f t="shared" si="51"/>
        <v>-6755280.72</v>
      </c>
      <c r="F209" s="34">
        <f t="shared" si="51"/>
        <v>-8739067.313</v>
      </c>
      <c r="G209" s="34">
        <f t="shared" si="51"/>
        <v>-8686889.752</v>
      </c>
      <c r="H209" s="34">
        <f t="shared" si="51"/>
        <v>-8634712.191</v>
      </c>
      <c r="I209" s="34">
        <f t="shared" si="51"/>
        <v>-8582534.63</v>
      </c>
      <c r="J209" s="34">
        <f t="shared" si="51"/>
        <v>-8143856.616</v>
      </c>
      <c r="K209" s="34">
        <f t="shared" si="51"/>
        <v>-8143856.616</v>
      </c>
      <c r="L209" s="34">
        <f t="shared" si="51"/>
        <v>-8143856.616</v>
      </c>
      <c r="M209" s="34">
        <f t="shared" si="51"/>
        <v>-8143856.616</v>
      </c>
      <c r="N209" s="7"/>
    </row>
    <row r="210">
      <c r="A210" s="2"/>
      <c r="B210" s="92" t="s">
        <v>436</v>
      </c>
      <c r="C210" s="26">
        <f>C209</f>
        <v>-5576209.054</v>
      </c>
      <c r="D210" s="26">
        <f t="shared" ref="D210:M210" si="52">C210+D209</f>
        <v>-10347703.18</v>
      </c>
      <c r="E210" s="26">
        <f t="shared" si="52"/>
        <v>-17102983.9</v>
      </c>
      <c r="F210" s="26">
        <f t="shared" si="52"/>
        <v>-25842051.22</v>
      </c>
      <c r="G210" s="26">
        <f t="shared" si="52"/>
        <v>-34528940.97</v>
      </c>
      <c r="H210" s="26">
        <f t="shared" si="52"/>
        <v>-43163653.16</v>
      </c>
      <c r="I210" s="26">
        <f t="shared" si="52"/>
        <v>-51746187.79</v>
      </c>
      <c r="J210" s="26">
        <f t="shared" si="52"/>
        <v>-59890044.4</v>
      </c>
      <c r="K210" s="26">
        <f t="shared" si="52"/>
        <v>-68033901.02</v>
      </c>
      <c r="L210" s="26">
        <f t="shared" si="52"/>
        <v>-76177757.64</v>
      </c>
      <c r="M210" s="26">
        <f t="shared" si="52"/>
        <v>-84321614.25</v>
      </c>
      <c r="N210" s="2"/>
    </row>
    <row r="211">
      <c r="A211" s="7"/>
      <c r="B211" s="13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</row>
    <row r="212">
      <c r="A212" s="164"/>
      <c r="B212" s="186" t="s">
        <v>437</v>
      </c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5"/>
      <c r="O212" s="164"/>
      <c r="P212" s="164"/>
      <c r="Q212" s="164"/>
      <c r="R212" s="164"/>
      <c r="S212" s="164"/>
      <c r="T212" s="164"/>
      <c r="U212" s="164"/>
      <c r="V212" s="164"/>
      <c r="W212" s="164"/>
      <c r="X212" s="164"/>
      <c r="Y212" s="164"/>
      <c r="Z212" s="164"/>
    </row>
    <row r="213">
      <c r="A213" s="164"/>
      <c r="B213" s="178" t="s">
        <v>340</v>
      </c>
      <c r="C213" s="179" t="s">
        <v>418</v>
      </c>
      <c r="D213" s="179" t="s">
        <v>380</v>
      </c>
      <c r="E213" s="179" t="s">
        <v>381</v>
      </c>
      <c r="F213" s="179" t="s">
        <v>382</v>
      </c>
      <c r="G213" s="179" t="s">
        <v>383</v>
      </c>
      <c r="H213" s="179" t="s">
        <v>384</v>
      </c>
      <c r="I213" s="179" t="s">
        <v>385</v>
      </c>
      <c r="J213" s="179" t="s">
        <v>386</v>
      </c>
      <c r="K213" s="179" t="s">
        <v>387</v>
      </c>
      <c r="L213" s="179" t="s">
        <v>388</v>
      </c>
      <c r="M213" s="179" t="s">
        <v>389</v>
      </c>
      <c r="N213" s="185"/>
      <c r="O213" s="164"/>
      <c r="P213" s="164"/>
      <c r="Q213" s="164"/>
      <c r="R213" s="164"/>
      <c r="S213" s="164"/>
      <c r="T213" s="164"/>
      <c r="U213" s="164"/>
      <c r="V213" s="164"/>
      <c r="W213" s="164"/>
      <c r="X213" s="164"/>
      <c r="Y213" s="164"/>
      <c r="Z213" s="164"/>
    </row>
    <row r="214" ht="18.75" customHeight="1">
      <c r="A214" s="160"/>
      <c r="B214" s="170" t="s">
        <v>393</v>
      </c>
      <c r="C214" s="162">
        <v>0.0</v>
      </c>
      <c r="D214" s="162">
        <f t="shared" ref="D214:M214" si="53">C122</f>
        <v>5038812.761</v>
      </c>
      <c r="E214" s="162">
        <f t="shared" si="53"/>
        <v>7558219.141</v>
      </c>
      <c r="F214" s="162">
        <f t="shared" si="53"/>
        <v>10077625.52</v>
      </c>
      <c r="G214" s="162">
        <f t="shared" si="53"/>
        <v>10077625.52</v>
      </c>
      <c r="H214" s="162">
        <f t="shared" si="53"/>
        <v>10077625.52</v>
      </c>
      <c r="I214" s="162">
        <f t="shared" si="53"/>
        <v>10077625.52</v>
      </c>
      <c r="J214" s="162">
        <f t="shared" si="53"/>
        <v>10077625.52</v>
      </c>
      <c r="K214" s="162">
        <f t="shared" si="53"/>
        <v>10077625.52</v>
      </c>
      <c r="L214" s="162">
        <f t="shared" si="53"/>
        <v>10077625.52</v>
      </c>
      <c r="M214" s="162">
        <f t="shared" si="53"/>
        <v>10077625.52</v>
      </c>
      <c r="N214" s="160"/>
    </row>
    <row r="215">
      <c r="A215" s="7"/>
      <c r="B215" s="96" t="s">
        <v>431</v>
      </c>
      <c r="C215" s="20">
        <f>-C64</f>
        <v>-3865004.527</v>
      </c>
      <c r="D215" s="20">
        <v>0.0</v>
      </c>
      <c r="E215" s="20">
        <v>0.0</v>
      </c>
      <c r="F215" s="20">
        <v>0.0</v>
      </c>
      <c r="G215" s="20">
        <v>0.0</v>
      </c>
      <c r="H215" s="20">
        <v>0.0</v>
      </c>
      <c r="I215" s="20">
        <v>0.0</v>
      </c>
      <c r="J215" s="20">
        <v>0.0</v>
      </c>
      <c r="K215" s="20">
        <v>0.0</v>
      </c>
      <c r="L215" s="20">
        <v>0.0</v>
      </c>
      <c r="M215" s="20">
        <v>0.0</v>
      </c>
      <c r="N215" s="7"/>
    </row>
    <row r="216">
      <c r="A216" s="2"/>
      <c r="B216" s="92" t="s">
        <v>432</v>
      </c>
      <c r="C216" s="26">
        <v>0.0</v>
      </c>
      <c r="D216" s="26">
        <v>0.0</v>
      </c>
      <c r="E216" s="26">
        <v>0.0</v>
      </c>
      <c r="F216" s="26">
        <v>0.0</v>
      </c>
      <c r="G216" s="26">
        <v>0.0</v>
      </c>
      <c r="H216" s="26">
        <v>0.0</v>
      </c>
      <c r="I216" s="26">
        <v>0.0</v>
      </c>
      <c r="J216" s="26">
        <v>0.0</v>
      </c>
      <c r="K216" s="26">
        <v>0.0</v>
      </c>
      <c r="L216" s="26">
        <v>0.0</v>
      </c>
      <c r="M216" s="26">
        <v>0.0</v>
      </c>
      <c r="N216" s="2"/>
    </row>
    <row r="217">
      <c r="A217" s="7"/>
      <c r="B217" s="96" t="s">
        <v>433</v>
      </c>
      <c r="C217" s="20">
        <f>-C63</f>
        <v>-1711204.527</v>
      </c>
      <c r="D217" s="20">
        <v>0.0</v>
      </c>
      <c r="E217" s="20">
        <v>0.0</v>
      </c>
      <c r="F217" s="20">
        <v>0.0</v>
      </c>
      <c r="G217" s="20">
        <v>0.0</v>
      </c>
      <c r="H217" s="20">
        <v>0.0</v>
      </c>
      <c r="I217" s="20">
        <v>0.0</v>
      </c>
      <c r="J217" s="20">
        <v>0.0</v>
      </c>
      <c r="K217" s="20">
        <v>0.0</v>
      </c>
      <c r="L217" s="20">
        <v>0.0</v>
      </c>
      <c r="M217" s="20">
        <v>0.0</v>
      </c>
      <c r="N217" s="7"/>
    </row>
    <row r="218">
      <c r="A218" s="2"/>
      <c r="B218" s="92" t="s">
        <v>434</v>
      </c>
      <c r="C218" s="26">
        <v>0.0</v>
      </c>
      <c r="D218" s="26">
        <f t="shared" ref="D218:M218" si="54">-D183</f>
        <v>-699565.8194</v>
      </c>
      <c r="E218" s="26">
        <f t="shared" si="54"/>
        <v>-647388.2583</v>
      </c>
      <c r="F218" s="26">
        <f t="shared" si="54"/>
        <v>-595210.6972</v>
      </c>
      <c r="G218" s="26">
        <f t="shared" si="54"/>
        <v>-543033.1361</v>
      </c>
      <c r="H218" s="26">
        <f t="shared" si="54"/>
        <v>-490855.575</v>
      </c>
      <c r="I218" s="26">
        <f t="shared" si="54"/>
        <v>-438678.0138</v>
      </c>
      <c r="J218" s="26">
        <f t="shared" si="54"/>
        <v>0</v>
      </c>
      <c r="K218" s="26">
        <f t="shared" si="54"/>
        <v>0</v>
      </c>
      <c r="L218" s="26">
        <f t="shared" si="54"/>
        <v>0</v>
      </c>
      <c r="M218" s="26">
        <f t="shared" si="54"/>
        <v>0</v>
      </c>
      <c r="N218" s="2"/>
    </row>
    <row r="219">
      <c r="A219" s="7"/>
      <c r="B219" s="163" t="s">
        <v>435</v>
      </c>
      <c r="C219" s="34">
        <f t="shared" ref="C219:M219" si="55">C214+C215+C216+C217+C218</f>
        <v>-5576209.054</v>
      </c>
      <c r="D219" s="34">
        <f t="shared" si="55"/>
        <v>4339246.941</v>
      </c>
      <c r="E219" s="34">
        <f t="shared" si="55"/>
        <v>6910830.883</v>
      </c>
      <c r="F219" s="34">
        <f t="shared" si="55"/>
        <v>9482414.824</v>
      </c>
      <c r="G219" s="34">
        <f t="shared" si="55"/>
        <v>9534592.385</v>
      </c>
      <c r="H219" s="34">
        <f t="shared" si="55"/>
        <v>9586769.947</v>
      </c>
      <c r="I219" s="34">
        <f t="shared" si="55"/>
        <v>9638947.508</v>
      </c>
      <c r="J219" s="34">
        <f t="shared" si="55"/>
        <v>10077625.52</v>
      </c>
      <c r="K219" s="34">
        <f t="shared" si="55"/>
        <v>10077625.52</v>
      </c>
      <c r="L219" s="34">
        <f t="shared" si="55"/>
        <v>10077625.52</v>
      </c>
      <c r="M219" s="34">
        <f t="shared" si="55"/>
        <v>10077625.52</v>
      </c>
      <c r="N219" s="7"/>
    </row>
    <row r="220">
      <c r="A220" s="2"/>
      <c r="B220" s="92" t="s">
        <v>436</v>
      </c>
      <c r="C220" s="26">
        <f>C219</f>
        <v>-5576209.054</v>
      </c>
      <c r="D220" s="26">
        <f t="shared" ref="D220:M220" si="56">C220+D219</f>
        <v>-1236962.113</v>
      </c>
      <c r="E220" s="26">
        <f t="shared" si="56"/>
        <v>5673868.77</v>
      </c>
      <c r="F220" s="26">
        <f t="shared" si="56"/>
        <v>15156283.59</v>
      </c>
      <c r="G220" s="26">
        <f t="shared" si="56"/>
        <v>24690875.98</v>
      </c>
      <c r="H220" s="26">
        <f t="shared" si="56"/>
        <v>34277645.93</v>
      </c>
      <c r="I220" s="26">
        <f t="shared" si="56"/>
        <v>43916593.43</v>
      </c>
      <c r="J220" s="26">
        <f t="shared" si="56"/>
        <v>53994218.96</v>
      </c>
      <c r="K220" s="26">
        <f t="shared" si="56"/>
        <v>64071844.48</v>
      </c>
      <c r="L220" s="26">
        <f t="shared" si="56"/>
        <v>74149470</v>
      </c>
      <c r="M220" s="26">
        <f t="shared" si="56"/>
        <v>84227095.52</v>
      </c>
      <c r="N220" s="2"/>
    </row>
    <row r="221">
      <c r="A221" s="7"/>
      <c r="B221" s="13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</row>
    <row r="222">
      <c r="A222" s="164"/>
      <c r="B222" s="186" t="s">
        <v>438</v>
      </c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5"/>
      <c r="O222" s="164"/>
      <c r="P222" s="164"/>
      <c r="Q222" s="164"/>
      <c r="R222" s="164"/>
      <c r="S222" s="164"/>
      <c r="T222" s="164"/>
      <c r="U222" s="164"/>
      <c r="V222" s="164"/>
      <c r="W222" s="164"/>
      <c r="X222" s="164"/>
      <c r="Y222" s="164"/>
      <c r="Z222" s="164"/>
    </row>
    <row r="223">
      <c r="A223" s="164"/>
      <c r="B223" s="178" t="s">
        <v>340</v>
      </c>
      <c r="C223" s="179" t="s">
        <v>418</v>
      </c>
      <c r="D223" s="179" t="s">
        <v>380</v>
      </c>
      <c r="E223" s="179" t="s">
        <v>381</v>
      </c>
      <c r="F223" s="179" t="s">
        <v>382</v>
      </c>
      <c r="G223" s="179" t="s">
        <v>383</v>
      </c>
      <c r="H223" s="179" t="s">
        <v>384</v>
      </c>
      <c r="I223" s="179" t="s">
        <v>385</v>
      </c>
      <c r="J223" s="179" t="s">
        <v>386</v>
      </c>
      <c r="K223" s="179" t="s">
        <v>387</v>
      </c>
      <c r="L223" s="179" t="s">
        <v>388</v>
      </c>
      <c r="M223" s="179" t="s">
        <v>389</v>
      </c>
      <c r="N223" s="185"/>
      <c r="O223" s="164"/>
      <c r="P223" s="164"/>
      <c r="Q223" s="164"/>
      <c r="R223" s="164"/>
      <c r="S223" s="164"/>
      <c r="T223" s="164"/>
      <c r="U223" s="164"/>
      <c r="V223" s="164"/>
      <c r="W223" s="164"/>
      <c r="X223" s="164"/>
      <c r="Y223" s="164"/>
      <c r="Z223" s="164"/>
    </row>
    <row r="224" ht="18.75" customHeight="1">
      <c r="A224" s="160"/>
      <c r="B224" s="170" t="s">
        <v>393</v>
      </c>
      <c r="C224" s="162">
        <v>0.0</v>
      </c>
      <c r="D224" s="162">
        <f t="shared" ref="D224:M224" si="57">C140</f>
        <v>54197309.96</v>
      </c>
      <c r="E224" s="162">
        <f t="shared" si="57"/>
        <v>81295964.95</v>
      </c>
      <c r="F224" s="162">
        <f t="shared" si="57"/>
        <v>108394619.9</v>
      </c>
      <c r="G224" s="162">
        <f t="shared" si="57"/>
        <v>108394619.9</v>
      </c>
      <c r="H224" s="162">
        <f t="shared" si="57"/>
        <v>108394619.9</v>
      </c>
      <c r="I224" s="162">
        <f t="shared" si="57"/>
        <v>108394619.9</v>
      </c>
      <c r="J224" s="162">
        <f t="shared" si="57"/>
        <v>108394619.9</v>
      </c>
      <c r="K224" s="162">
        <f t="shared" si="57"/>
        <v>108394619.9</v>
      </c>
      <c r="L224" s="162">
        <f t="shared" si="57"/>
        <v>108394619.9</v>
      </c>
      <c r="M224" s="162">
        <f t="shared" si="57"/>
        <v>108394619.9</v>
      </c>
      <c r="N224" s="160"/>
    </row>
    <row r="225">
      <c r="A225" s="7"/>
      <c r="B225" s="96" t="s">
        <v>431</v>
      </c>
      <c r="C225" s="20">
        <f>-C64</f>
        <v>-3865004.527</v>
      </c>
      <c r="D225" s="20">
        <v>0.0</v>
      </c>
      <c r="E225" s="20">
        <v>0.0</v>
      </c>
      <c r="F225" s="20">
        <v>0.0</v>
      </c>
      <c r="G225" s="20">
        <v>0.0</v>
      </c>
      <c r="H225" s="20">
        <v>0.0</v>
      </c>
      <c r="I225" s="20">
        <v>0.0</v>
      </c>
      <c r="J225" s="20">
        <v>0.0</v>
      </c>
      <c r="K225" s="20">
        <v>0.0</v>
      </c>
      <c r="L225" s="20">
        <v>0.0</v>
      </c>
      <c r="M225" s="20">
        <v>0.0</v>
      </c>
      <c r="N225" s="7"/>
    </row>
    <row r="226">
      <c r="A226" s="2"/>
      <c r="B226" s="92" t="s">
        <v>432</v>
      </c>
      <c r="C226" s="26">
        <v>0.0</v>
      </c>
      <c r="D226" s="26">
        <v>0.0</v>
      </c>
      <c r="E226" s="26">
        <v>0.0</v>
      </c>
      <c r="F226" s="26">
        <v>0.0</v>
      </c>
      <c r="G226" s="26">
        <v>0.0</v>
      </c>
      <c r="H226" s="26">
        <v>0.0</v>
      </c>
      <c r="I226" s="26">
        <v>0.0</v>
      </c>
      <c r="J226" s="26">
        <v>0.0</v>
      </c>
      <c r="K226" s="26">
        <v>0.0</v>
      </c>
      <c r="L226" s="26">
        <v>0.0</v>
      </c>
      <c r="M226" s="26">
        <v>0.0</v>
      </c>
      <c r="N226" s="2"/>
    </row>
    <row r="227">
      <c r="A227" s="7"/>
      <c r="B227" s="96" t="s">
        <v>433</v>
      </c>
      <c r="C227" s="20">
        <f>-C63</f>
        <v>-1711204.527</v>
      </c>
      <c r="D227" s="20">
        <v>0.0</v>
      </c>
      <c r="E227" s="20">
        <v>0.0</v>
      </c>
      <c r="F227" s="20">
        <v>0.0</v>
      </c>
      <c r="G227" s="20">
        <v>0.0</v>
      </c>
      <c r="H227" s="20">
        <v>0.0</v>
      </c>
      <c r="I227" s="20">
        <v>0.0</v>
      </c>
      <c r="J227" s="20">
        <v>0.0</v>
      </c>
      <c r="K227" s="20">
        <v>0.0</v>
      </c>
      <c r="L227" s="20">
        <v>0.0</v>
      </c>
      <c r="M227" s="20">
        <v>0.0</v>
      </c>
      <c r="N227" s="7"/>
    </row>
    <row r="228">
      <c r="A228" s="2"/>
      <c r="B228" s="92" t="s">
        <v>434</v>
      </c>
      <c r="C228" s="26">
        <v>0.0</v>
      </c>
      <c r="D228" s="26">
        <f t="shared" ref="D228:M228" si="58">-D197</f>
        <v>-699565.8194</v>
      </c>
      <c r="E228" s="26">
        <f t="shared" si="58"/>
        <v>-647388.2583</v>
      </c>
      <c r="F228" s="26">
        <f t="shared" si="58"/>
        <v>-595210.6972</v>
      </c>
      <c r="G228" s="26">
        <f t="shared" si="58"/>
        <v>-543033.1361</v>
      </c>
      <c r="H228" s="26">
        <f t="shared" si="58"/>
        <v>-490855.575</v>
      </c>
      <c r="I228" s="26">
        <f t="shared" si="58"/>
        <v>-438678.0138</v>
      </c>
      <c r="J228" s="26">
        <f t="shared" si="58"/>
        <v>0</v>
      </c>
      <c r="K228" s="26">
        <f t="shared" si="58"/>
        <v>0</v>
      </c>
      <c r="L228" s="26">
        <f t="shared" si="58"/>
        <v>0</v>
      </c>
      <c r="M228" s="26">
        <f t="shared" si="58"/>
        <v>0</v>
      </c>
      <c r="N228" s="2"/>
    </row>
    <row r="229">
      <c r="A229" s="7"/>
      <c r="B229" s="163" t="s">
        <v>435</v>
      </c>
      <c r="C229" s="34">
        <f t="shared" ref="C229:M229" si="59">C224+C225+C226+C227+C228</f>
        <v>-5576209.054</v>
      </c>
      <c r="D229" s="34">
        <f t="shared" si="59"/>
        <v>53497744.14</v>
      </c>
      <c r="E229" s="34">
        <f t="shared" si="59"/>
        <v>80648576.69</v>
      </c>
      <c r="F229" s="34">
        <f t="shared" si="59"/>
        <v>107799409.2</v>
      </c>
      <c r="G229" s="34">
        <f t="shared" si="59"/>
        <v>107851586.8</v>
      </c>
      <c r="H229" s="34">
        <f t="shared" si="59"/>
        <v>107903764.4</v>
      </c>
      <c r="I229" s="34">
        <f t="shared" si="59"/>
        <v>107955941.9</v>
      </c>
      <c r="J229" s="34">
        <f t="shared" si="59"/>
        <v>108394619.9</v>
      </c>
      <c r="K229" s="34">
        <f t="shared" si="59"/>
        <v>108394619.9</v>
      </c>
      <c r="L229" s="34">
        <f t="shared" si="59"/>
        <v>108394619.9</v>
      </c>
      <c r="M229" s="34">
        <f t="shared" si="59"/>
        <v>108394619.9</v>
      </c>
      <c r="N229" s="7"/>
    </row>
    <row r="230">
      <c r="A230" s="2"/>
      <c r="B230" s="92" t="s">
        <v>436</v>
      </c>
      <c r="C230" s="26">
        <f>C229</f>
        <v>-5576209.054</v>
      </c>
      <c r="D230" s="26">
        <f t="shared" ref="D230:M230" si="60">C230+D229</f>
        <v>47921535.09</v>
      </c>
      <c r="E230" s="26">
        <f t="shared" si="60"/>
        <v>128570111.8</v>
      </c>
      <c r="F230" s="26">
        <f t="shared" si="60"/>
        <v>236369521</v>
      </c>
      <c r="G230" s="26">
        <f t="shared" si="60"/>
        <v>344221107.8</v>
      </c>
      <c r="H230" s="26">
        <f t="shared" si="60"/>
        <v>452124872.2</v>
      </c>
      <c r="I230" s="26">
        <f t="shared" si="60"/>
        <v>560080814.1</v>
      </c>
      <c r="J230" s="26">
        <f t="shared" si="60"/>
        <v>668475434</v>
      </c>
      <c r="K230" s="26">
        <f t="shared" si="60"/>
        <v>776870053.9</v>
      </c>
      <c r="L230" s="26">
        <f t="shared" si="60"/>
        <v>885264673.9</v>
      </c>
      <c r="M230" s="26">
        <f t="shared" si="60"/>
        <v>993659293.8</v>
      </c>
      <c r="N230" s="2"/>
    </row>
    <row r="231">
      <c r="A231" s="7"/>
      <c r="B231" s="13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</row>
    <row r="232">
      <c r="A232" s="2"/>
      <c r="B232" s="120" t="s">
        <v>530</v>
      </c>
      <c r="C232" s="4"/>
      <c r="D232" s="4"/>
      <c r="E232" s="4"/>
      <c r="F232" s="4"/>
      <c r="G232" s="4"/>
      <c r="H232" s="5"/>
      <c r="I232" s="183"/>
      <c r="J232" s="183"/>
      <c r="K232" s="183"/>
      <c r="L232" s="183"/>
      <c r="M232" s="183"/>
      <c r="N232" s="183"/>
    </row>
    <row r="233">
      <c r="A233" s="7"/>
      <c r="B233" s="113" t="s">
        <v>440</v>
      </c>
      <c r="C233" s="4"/>
      <c r="D233" s="4"/>
      <c r="E233" s="4"/>
      <c r="F233" s="4"/>
      <c r="G233" s="4"/>
      <c r="H233" s="5"/>
      <c r="I233" s="7"/>
      <c r="J233" s="7"/>
      <c r="K233" s="7"/>
      <c r="L233" s="7"/>
      <c r="M233" s="7"/>
      <c r="N233" s="7"/>
    </row>
    <row r="234">
      <c r="A234" s="164"/>
      <c r="B234" s="178" t="s">
        <v>340</v>
      </c>
      <c r="C234" s="179" t="s">
        <v>418</v>
      </c>
      <c r="D234" s="179" t="s">
        <v>382</v>
      </c>
      <c r="E234" s="179" t="s">
        <v>384</v>
      </c>
      <c r="F234" s="179" t="s">
        <v>389</v>
      </c>
      <c r="G234" s="185"/>
      <c r="H234" s="185"/>
      <c r="I234" s="185"/>
      <c r="J234" s="185"/>
      <c r="K234" s="185"/>
      <c r="L234" s="185"/>
      <c r="M234" s="185"/>
      <c r="N234" s="185"/>
      <c r="O234" s="164"/>
      <c r="P234" s="164"/>
      <c r="Q234" s="164"/>
      <c r="R234" s="164"/>
      <c r="S234" s="164"/>
      <c r="T234" s="164"/>
      <c r="U234" s="164"/>
      <c r="V234" s="164"/>
      <c r="W234" s="164"/>
      <c r="X234" s="164"/>
      <c r="Y234" s="164"/>
      <c r="Z234" s="164"/>
    </row>
    <row r="235">
      <c r="A235" s="7"/>
      <c r="B235" s="163" t="s">
        <v>441</v>
      </c>
      <c r="C235" s="131"/>
      <c r="D235" s="131"/>
      <c r="E235" s="131"/>
      <c r="F235" s="131"/>
      <c r="G235" s="7"/>
      <c r="H235" s="7"/>
      <c r="I235" s="7"/>
      <c r="J235" s="7"/>
      <c r="K235" s="7"/>
      <c r="L235" s="7"/>
      <c r="M235" s="7"/>
      <c r="N235" s="7"/>
    </row>
    <row r="236">
      <c r="A236" s="2"/>
      <c r="B236" s="92" t="s">
        <v>442</v>
      </c>
      <c r="C236" s="26">
        <f>C60+C61</f>
        <v>2058800</v>
      </c>
      <c r="D236" s="26">
        <f>C236-E156*3</f>
        <v>1493660</v>
      </c>
      <c r="E236" s="26">
        <f>C236-E156*5</f>
        <v>1116900</v>
      </c>
      <c r="F236" s="26">
        <f>MAX(0,C236-E156*10)</f>
        <v>175000</v>
      </c>
      <c r="G236" s="2"/>
      <c r="H236" s="2"/>
      <c r="I236" s="2"/>
      <c r="J236" s="2"/>
      <c r="K236" s="2"/>
      <c r="L236" s="2"/>
      <c r="M236" s="2"/>
      <c r="N236" s="2"/>
    </row>
    <row r="237">
      <c r="A237" s="7"/>
      <c r="B237" s="96" t="s">
        <v>443</v>
      </c>
      <c r="C237" s="20">
        <f>C63</f>
        <v>1711204.527</v>
      </c>
      <c r="D237" s="20">
        <f>C63</f>
        <v>1711204.527</v>
      </c>
      <c r="E237" s="20">
        <f>C63</f>
        <v>1711204.527</v>
      </c>
      <c r="F237" s="20">
        <f>C63</f>
        <v>1711204.527</v>
      </c>
      <c r="G237" s="7"/>
      <c r="H237" s="7"/>
      <c r="I237" s="7"/>
      <c r="J237" s="7"/>
      <c r="K237" s="7"/>
      <c r="L237" s="7"/>
      <c r="M237" s="7"/>
      <c r="N237" s="7"/>
    </row>
    <row r="238">
      <c r="A238" s="2"/>
      <c r="B238" s="152" t="s">
        <v>444</v>
      </c>
      <c r="C238" s="22">
        <f t="shared" ref="C238:F238" si="61">C236+C237</f>
        <v>3770004.527</v>
      </c>
      <c r="D238" s="22">
        <f t="shared" si="61"/>
        <v>3204864.527</v>
      </c>
      <c r="E238" s="22">
        <f t="shared" si="61"/>
        <v>2828104.527</v>
      </c>
      <c r="F238" s="22">
        <f t="shared" si="61"/>
        <v>1886204.527</v>
      </c>
      <c r="G238" s="2"/>
      <c r="H238" s="2"/>
      <c r="I238" s="2"/>
      <c r="J238" s="2"/>
      <c r="K238" s="2"/>
      <c r="L238" s="2"/>
      <c r="M238" s="2"/>
      <c r="N238" s="2"/>
    </row>
    <row r="239">
      <c r="A239" s="7"/>
      <c r="B239" s="13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</row>
    <row r="240">
      <c r="A240" s="2"/>
      <c r="B240" s="152" t="s">
        <v>445</v>
      </c>
      <c r="C240" s="130"/>
      <c r="D240" s="130"/>
      <c r="E240" s="130"/>
      <c r="F240" s="130"/>
      <c r="G240" s="2"/>
      <c r="H240" s="2"/>
      <c r="I240" s="2"/>
      <c r="J240" s="2"/>
      <c r="K240" s="2"/>
      <c r="L240" s="2"/>
      <c r="M240" s="2"/>
      <c r="N240" s="2"/>
    </row>
    <row r="241">
      <c r="A241" s="7"/>
      <c r="B241" s="96" t="s">
        <v>446</v>
      </c>
      <c r="C241" s="20">
        <f>C170</f>
        <v>2319002.716</v>
      </c>
      <c r="D241" s="20">
        <f>F170</f>
        <v>1159501.358</v>
      </c>
      <c r="E241" s="20">
        <f>H170</f>
        <v>386500.4527</v>
      </c>
      <c r="F241" s="20">
        <f>M170</f>
        <v>0</v>
      </c>
      <c r="G241" s="7"/>
      <c r="H241" s="7"/>
      <c r="I241" s="7"/>
      <c r="J241" s="7"/>
      <c r="K241" s="7"/>
      <c r="L241" s="7"/>
      <c r="M241" s="7"/>
      <c r="N241" s="7"/>
    </row>
    <row r="242">
      <c r="A242" s="2"/>
      <c r="B242" s="92" t="s">
        <v>447</v>
      </c>
      <c r="C242" s="26">
        <f t="shared" ref="C242:F242" si="62">C238-C241</f>
        <v>1451001.811</v>
      </c>
      <c r="D242" s="26">
        <f t="shared" si="62"/>
        <v>2045363.169</v>
      </c>
      <c r="E242" s="26">
        <f t="shared" si="62"/>
        <v>2441604.074</v>
      </c>
      <c r="F242" s="26">
        <f t="shared" si="62"/>
        <v>1886204.527</v>
      </c>
      <c r="G242" s="2"/>
      <c r="H242" s="2"/>
      <c r="I242" s="2"/>
      <c r="J242" s="2"/>
      <c r="K242" s="2"/>
      <c r="L242" s="2"/>
      <c r="M242" s="2"/>
      <c r="N242" s="2"/>
    </row>
    <row r="243">
      <c r="A243" s="7"/>
      <c r="B243" s="163" t="s">
        <v>448</v>
      </c>
      <c r="C243" s="34">
        <f t="shared" ref="C243:F243" si="63">C241+C242</f>
        <v>3770004.527</v>
      </c>
      <c r="D243" s="34">
        <f t="shared" si="63"/>
        <v>3204864.527</v>
      </c>
      <c r="E243" s="34">
        <f t="shared" si="63"/>
        <v>2828104.527</v>
      </c>
      <c r="F243" s="34">
        <f t="shared" si="63"/>
        <v>1886204.527</v>
      </c>
      <c r="G243" s="7"/>
      <c r="H243" s="7"/>
      <c r="I243" s="7"/>
      <c r="J243" s="7"/>
      <c r="K243" s="7"/>
      <c r="L243" s="7"/>
      <c r="M243" s="7"/>
      <c r="N243" s="7"/>
    </row>
    <row r="244">
      <c r="A244" s="2"/>
      <c r="B244" s="171" t="s">
        <v>449</v>
      </c>
      <c r="C244" s="172" t="str">
        <f t="shared" ref="C244:F244" si="64">IF(ABS(C238-C243)&lt;1,"OK","ERROR")</f>
        <v>OK</v>
      </c>
      <c r="D244" s="172" t="str">
        <f t="shared" si="64"/>
        <v>OK</v>
      </c>
      <c r="E244" s="172" t="str">
        <f t="shared" si="64"/>
        <v>OK</v>
      </c>
      <c r="F244" s="172" t="str">
        <f t="shared" si="64"/>
        <v>OK</v>
      </c>
      <c r="G244" s="2"/>
      <c r="H244" s="2"/>
      <c r="I244" s="2"/>
      <c r="J244" s="2"/>
      <c r="K244" s="2"/>
      <c r="L244" s="2"/>
      <c r="M244" s="2"/>
      <c r="N244" s="2"/>
    </row>
    <row r="245">
      <c r="A245" s="7"/>
      <c r="B245" s="13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</row>
    <row r="246">
      <c r="A246" s="164"/>
      <c r="B246" s="186" t="s">
        <v>450</v>
      </c>
      <c r="C246" s="4"/>
      <c r="D246" s="4"/>
      <c r="E246" s="4"/>
      <c r="F246" s="4"/>
      <c r="G246" s="4"/>
      <c r="H246" s="5"/>
      <c r="I246" s="164"/>
      <c r="J246" s="164"/>
      <c r="K246" s="164"/>
      <c r="L246" s="164"/>
      <c r="M246" s="164"/>
      <c r="N246" s="164"/>
      <c r="O246" s="164"/>
      <c r="P246" s="164"/>
      <c r="Q246" s="164"/>
      <c r="R246" s="164"/>
      <c r="S246" s="164"/>
      <c r="T246" s="164"/>
      <c r="U246" s="164"/>
      <c r="V246" s="164"/>
      <c r="W246" s="164"/>
      <c r="X246" s="164"/>
      <c r="Y246" s="164"/>
      <c r="Z246" s="164"/>
    </row>
    <row r="247">
      <c r="A247" s="164"/>
      <c r="B247" s="178" t="s">
        <v>340</v>
      </c>
      <c r="C247" s="179" t="s">
        <v>418</v>
      </c>
      <c r="D247" s="179" t="s">
        <v>382</v>
      </c>
      <c r="E247" s="179" t="s">
        <v>384</v>
      </c>
      <c r="F247" s="179" t="s">
        <v>389</v>
      </c>
      <c r="G247" s="185"/>
      <c r="H247" s="185"/>
      <c r="I247" s="185"/>
      <c r="J247" s="185"/>
      <c r="K247" s="185"/>
      <c r="L247" s="185"/>
      <c r="M247" s="185"/>
      <c r="N247" s="185"/>
      <c r="O247" s="164"/>
      <c r="P247" s="164"/>
      <c r="Q247" s="164"/>
      <c r="R247" s="164"/>
      <c r="S247" s="164"/>
      <c r="T247" s="164"/>
      <c r="U247" s="164"/>
      <c r="V247" s="164"/>
      <c r="W247" s="164"/>
      <c r="X247" s="164"/>
      <c r="Y247" s="164"/>
      <c r="Z247" s="164"/>
    </row>
    <row r="248">
      <c r="A248" s="2"/>
      <c r="B248" s="152" t="s">
        <v>441</v>
      </c>
      <c r="C248" s="130"/>
      <c r="D248" s="130"/>
      <c r="E248" s="130"/>
      <c r="F248" s="130"/>
      <c r="G248" s="2"/>
      <c r="H248" s="2"/>
      <c r="I248" s="2"/>
      <c r="J248" s="2"/>
      <c r="K248" s="2"/>
      <c r="L248" s="2"/>
      <c r="M248" s="2"/>
      <c r="N248" s="2"/>
    </row>
    <row r="249">
      <c r="A249" s="7"/>
      <c r="B249" s="96" t="s">
        <v>442</v>
      </c>
      <c r="C249" s="20">
        <f>C60+C61</f>
        <v>2058800</v>
      </c>
      <c r="D249" s="20">
        <f>C249-E156*3</f>
        <v>1493660</v>
      </c>
      <c r="E249" s="20">
        <f>C249-E156*5</f>
        <v>1116900</v>
      </c>
      <c r="F249" s="20">
        <f>MAX(0,C249-E156*10)</f>
        <v>175000</v>
      </c>
      <c r="G249" s="7"/>
      <c r="H249" s="7"/>
      <c r="I249" s="7"/>
      <c r="J249" s="7"/>
      <c r="K249" s="7"/>
      <c r="L249" s="7"/>
      <c r="M249" s="7"/>
      <c r="N249" s="7"/>
    </row>
    <row r="250">
      <c r="A250" s="2"/>
      <c r="B250" s="92" t="s">
        <v>443</v>
      </c>
      <c r="C250" s="26">
        <f>C63</f>
        <v>1711204.527</v>
      </c>
      <c r="D250" s="26">
        <f>C63</f>
        <v>1711204.527</v>
      </c>
      <c r="E250" s="26">
        <f>C63</f>
        <v>1711204.527</v>
      </c>
      <c r="F250" s="26">
        <f>C63</f>
        <v>1711204.527</v>
      </c>
      <c r="G250" s="2"/>
      <c r="H250" s="2"/>
      <c r="I250" s="2"/>
      <c r="J250" s="2"/>
      <c r="K250" s="2"/>
      <c r="L250" s="2"/>
      <c r="M250" s="2"/>
      <c r="N250" s="2"/>
    </row>
    <row r="251">
      <c r="A251" s="7"/>
      <c r="B251" s="163" t="s">
        <v>444</v>
      </c>
      <c r="C251" s="34">
        <f t="shared" ref="C251:F251" si="65">C249+C250</f>
        <v>3770004.527</v>
      </c>
      <c r="D251" s="34">
        <f t="shared" si="65"/>
        <v>3204864.527</v>
      </c>
      <c r="E251" s="34">
        <f t="shared" si="65"/>
        <v>2828104.527</v>
      </c>
      <c r="F251" s="34">
        <f t="shared" si="65"/>
        <v>1886204.527</v>
      </c>
      <c r="G251" s="7"/>
      <c r="H251" s="7"/>
      <c r="I251" s="7"/>
      <c r="J251" s="7"/>
      <c r="K251" s="7"/>
      <c r="L251" s="7"/>
      <c r="M251" s="7"/>
      <c r="N251" s="7"/>
    </row>
    <row r="252">
      <c r="A252" s="2"/>
      <c r="B252" s="11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</row>
    <row r="253">
      <c r="A253" s="7"/>
      <c r="B253" s="163" t="s">
        <v>445</v>
      </c>
      <c r="C253" s="131"/>
      <c r="D253" s="131"/>
      <c r="E253" s="131"/>
      <c r="F253" s="131"/>
      <c r="G253" s="7"/>
      <c r="H253" s="7"/>
      <c r="I253" s="7"/>
      <c r="J253" s="7"/>
      <c r="K253" s="7"/>
      <c r="L253" s="7"/>
      <c r="M253" s="7"/>
      <c r="N253" s="7"/>
    </row>
    <row r="254">
      <c r="A254" s="2"/>
      <c r="B254" s="92" t="s">
        <v>446</v>
      </c>
      <c r="C254" s="26">
        <f>C184</f>
        <v>2319002.716</v>
      </c>
      <c r="D254" s="26">
        <f>F184</f>
        <v>1159501.358</v>
      </c>
      <c r="E254" s="26">
        <f>H184</f>
        <v>386500.4527</v>
      </c>
      <c r="F254" s="26">
        <f>M184</f>
        <v>0</v>
      </c>
      <c r="G254" s="2"/>
      <c r="H254" s="2"/>
      <c r="I254" s="2"/>
      <c r="J254" s="2"/>
      <c r="K254" s="2"/>
      <c r="L254" s="2"/>
      <c r="M254" s="2"/>
      <c r="N254" s="2"/>
    </row>
    <row r="255">
      <c r="A255" s="7"/>
      <c r="B255" s="96" t="s">
        <v>447</v>
      </c>
      <c r="C255" s="20">
        <f t="shared" ref="C255:F255" si="66">C251-C254</f>
        <v>1451001.811</v>
      </c>
      <c r="D255" s="20">
        <f t="shared" si="66"/>
        <v>2045363.169</v>
      </c>
      <c r="E255" s="20">
        <f t="shared" si="66"/>
        <v>2441604.074</v>
      </c>
      <c r="F255" s="20">
        <f t="shared" si="66"/>
        <v>1886204.527</v>
      </c>
      <c r="G255" s="7"/>
      <c r="H255" s="7"/>
      <c r="I255" s="7"/>
      <c r="J255" s="7"/>
      <c r="K255" s="7"/>
      <c r="L255" s="7"/>
      <c r="M255" s="7"/>
      <c r="N255" s="7"/>
    </row>
    <row r="256">
      <c r="A256" s="2"/>
      <c r="B256" s="152" t="s">
        <v>448</v>
      </c>
      <c r="C256" s="22">
        <f t="shared" ref="C256:F256" si="67">C254+C255</f>
        <v>3770004.527</v>
      </c>
      <c r="D256" s="22">
        <f t="shared" si="67"/>
        <v>3204864.527</v>
      </c>
      <c r="E256" s="22">
        <f t="shared" si="67"/>
        <v>2828104.527</v>
      </c>
      <c r="F256" s="22">
        <f t="shared" si="67"/>
        <v>1886204.527</v>
      </c>
      <c r="G256" s="2"/>
      <c r="H256" s="2"/>
      <c r="I256" s="2"/>
      <c r="J256" s="2"/>
      <c r="K256" s="2"/>
      <c r="L256" s="2"/>
      <c r="M256" s="2"/>
      <c r="N256" s="2"/>
    </row>
    <row r="257">
      <c r="A257" s="7"/>
      <c r="B257" s="173" t="s">
        <v>449</v>
      </c>
      <c r="C257" s="174" t="str">
        <f t="shared" ref="C257:F257" si="68">IF(ABS(C251-C256)&lt;1,"OK","ERROR")</f>
        <v>OK</v>
      </c>
      <c r="D257" s="174" t="str">
        <f t="shared" si="68"/>
        <v>OK</v>
      </c>
      <c r="E257" s="174" t="str">
        <f t="shared" si="68"/>
        <v>OK</v>
      </c>
      <c r="F257" s="174" t="str">
        <f t="shared" si="68"/>
        <v>OK</v>
      </c>
      <c r="G257" s="7"/>
      <c r="H257" s="7"/>
      <c r="I257" s="7"/>
      <c r="J257" s="7"/>
      <c r="K257" s="7"/>
      <c r="L257" s="7"/>
      <c r="M257" s="7"/>
      <c r="N257" s="7"/>
    </row>
    <row r="258">
      <c r="A258" s="2"/>
      <c r="B258" s="11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</row>
    <row r="259">
      <c r="A259" s="164"/>
      <c r="B259" s="186" t="s">
        <v>451</v>
      </c>
      <c r="C259" s="4"/>
      <c r="D259" s="4"/>
      <c r="E259" s="4"/>
      <c r="F259" s="4"/>
      <c r="G259" s="4"/>
      <c r="H259" s="5"/>
      <c r="I259" s="164"/>
      <c r="J259" s="164"/>
      <c r="K259" s="164"/>
      <c r="L259" s="164"/>
      <c r="M259" s="164"/>
      <c r="N259" s="164"/>
      <c r="O259" s="164"/>
      <c r="P259" s="164"/>
      <c r="Q259" s="164"/>
      <c r="R259" s="164"/>
      <c r="S259" s="164"/>
      <c r="T259" s="164"/>
      <c r="U259" s="164"/>
      <c r="V259" s="164"/>
      <c r="W259" s="164"/>
      <c r="X259" s="164"/>
      <c r="Y259" s="164"/>
      <c r="Z259" s="164"/>
    </row>
    <row r="260">
      <c r="A260" s="164"/>
      <c r="B260" s="178" t="s">
        <v>340</v>
      </c>
      <c r="C260" s="179" t="s">
        <v>418</v>
      </c>
      <c r="D260" s="179" t="s">
        <v>382</v>
      </c>
      <c r="E260" s="179" t="s">
        <v>384</v>
      </c>
      <c r="F260" s="179" t="s">
        <v>389</v>
      </c>
      <c r="G260" s="185"/>
      <c r="H260" s="185"/>
      <c r="I260" s="185"/>
      <c r="J260" s="185"/>
      <c r="K260" s="185"/>
      <c r="L260" s="185"/>
      <c r="M260" s="185"/>
      <c r="N260" s="185"/>
      <c r="O260" s="164"/>
      <c r="P260" s="164"/>
      <c r="Q260" s="164"/>
      <c r="R260" s="164"/>
      <c r="S260" s="164"/>
      <c r="T260" s="164"/>
      <c r="U260" s="164"/>
      <c r="V260" s="164"/>
      <c r="W260" s="164"/>
      <c r="X260" s="164"/>
      <c r="Y260" s="164"/>
      <c r="Z260" s="164"/>
    </row>
    <row r="261">
      <c r="A261" s="7"/>
      <c r="B261" s="163" t="s">
        <v>441</v>
      </c>
      <c r="C261" s="131"/>
      <c r="D261" s="131"/>
      <c r="E261" s="131"/>
      <c r="F261" s="131"/>
      <c r="G261" s="7"/>
      <c r="H261" s="7"/>
      <c r="I261" s="7"/>
      <c r="J261" s="7"/>
      <c r="K261" s="7"/>
      <c r="L261" s="7"/>
      <c r="M261" s="7"/>
      <c r="N261" s="7"/>
    </row>
    <row r="262">
      <c r="A262" s="2"/>
      <c r="B262" s="92" t="s">
        <v>442</v>
      </c>
      <c r="C262" s="26">
        <f>C60+C61</f>
        <v>2058800</v>
      </c>
      <c r="D262" s="26">
        <f>C262-E156*3</f>
        <v>1493660</v>
      </c>
      <c r="E262" s="26">
        <f>C262-E156*5</f>
        <v>1116900</v>
      </c>
      <c r="F262" s="26">
        <f>MAX(0,C262-E156*10)</f>
        <v>175000</v>
      </c>
      <c r="G262" s="2"/>
      <c r="H262" s="2"/>
      <c r="I262" s="2"/>
      <c r="J262" s="2"/>
      <c r="K262" s="2"/>
      <c r="L262" s="2"/>
      <c r="M262" s="2"/>
      <c r="N262" s="2"/>
    </row>
    <row r="263">
      <c r="A263" s="7"/>
      <c r="B263" s="96" t="s">
        <v>443</v>
      </c>
      <c r="C263" s="20">
        <f>C63</f>
        <v>1711204.527</v>
      </c>
      <c r="D263" s="20">
        <f>C63</f>
        <v>1711204.527</v>
      </c>
      <c r="E263" s="20">
        <f>C63</f>
        <v>1711204.527</v>
      </c>
      <c r="F263" s="20">
        <f>C63</f>
        <v>1711204.527</v>
      </c>
      <c r="G263" s="7"/>
      <c r="H263" s="7"/>
      <c r="I263" s="7"/>
      <c r="J263" s="7"/>
      <c r="K263" s="7"/>
      <c r="L263" s="7"/>
      <c r="M263" s="7"/>
      <c r="N263" s="7"/>
    </row>
    <row r="264">
      <c r="A264" s="2"/>
      <c r="B264" s="152" t="s">
        <v>444</v>
      </c>
      <c r="C264" s="22">
        <f t="shared" ref="C264:F264" si="69">C262+C263</f>
        <v>3770004.527</v>
      </c>
      <c r="D264" s="22">
        <f t="shared" si="69"/>
        <v>3204864.527</v>
      </c>
      <c r="E264" s="22">
        <f t="shared" si="69"/>
        <v>2828104.527</v>
      </c>
      <c r="F264" s="22">
        <f t="shared" si="69"/>
        <v>1886204.527</v>
      </c>
      <c r="G264" s="2"/>
      <c r="H264" s="2"/>
      <c r="I264" s="2"/>
      <c r="J264" s="2"/>
      <c r="K264" s="2"/>
      <c r="L264" s="2"/>
      <c r="M264" s="2"/>
      <c r="N264" s="2"/>
    </row>
    <row r="265">
      <c r="A265" s="7"/>
      <c r="B265" s="13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</row>
    <row r="266">
      <c r="A266" s="2"/>
      <c r="B266" s="152" t="s">
        <v>445</v>
      </c>
      <c r="C266" s="130"/>
      <c r="D266" s="130"/>
      <c r="E266" s="130"/>
      <c r="F266" s="130"/>
      <c r="G266" s="2"/>
      <c r="H266" s="2"/>
      <c r="I266" s="2"/>
      <c r="J266" s="2"/>
      <c r="K266" s="2"/>
      <c r="L266" s="2"/>
      <c r="M266" s="2"/>
      <c r="N266" s="2"/>
    </row>
    <row r="267">
      <c r="A267" s="7"/>
      <c r="B267" s="96" t="s">
        <v>446</v>
      </c>
      <c r="C267" s="20">
        <f>C198</f>
        <v>2319002.716</v>
      </c>
      <c r="D267" s="20">
        <f>F198</f>
        <v>1159501.358</v>
      </c>
      <c r="E267" s="20">
        <f>H198</f>
        <v>386500.4527</v>
      </c>
      <c r="F267" s="20">
        <f>M198</f>
        <v>0</v>
      </c>
      <c r="G267" s="7"/>
      <c r="H267" s="7"/>
      <c r="I267" s="7"/>
      <c r="J267" s="7"/>
      <c r="K267" s="7"/>
      <c r="L267" s="7"/>
      <c r="M267" s="7"/>
      <c r="N267" s="7"/>
    </row>
    <row r="268">
      <c r="A268" s="2"/>
      <c r="B268" s="92" t="s">
        <v>447</v>
      </c>
      <c r="C268" s="26">
        <f t="shared" ref="C268:F268" si="70">C264-C267</f>
        <v>1451001.811</v>
      </c>
      <c r="D268" s="26">
        <f t="shared" si="70"/>
        <v>2045363.169</v>
      </c>
      <c r="E268" s="26">
        <f t="shared" si="70"/>
        <v>2441604.074</v>
      </c>
      <c r="F268" s="26">
        <f t="shared" si="70"/>
        <v>1886204.527</v>
      </c>
      <c r="G268" s="2"/>
      <c r="H268" s="2"/>
      <c r="I268" s="2"/>
      <c r="J268" s="2"/>
      <c r="K268" s="2"/>
      <c r="L268" s="2"/>
      <c r="M268" s="2"/>
      <c r="N268" s="2"/>
    </row>
    <row r="269">
      <c r="A269" s="7"/>
      <c r="B269" s="163" t="s">
        <v>448</v>
      </c>
      <c r="C269" s="34">
        <f t="shared" ref="C269:F269" si="71">C267+C268</f>
        <v>3770004.527</v>
      </c>
      <c r="D269" s="34">
        <f t="shared" si="71"/>
        <v>3204864.527</v>
      </c>
      <c r="E269" s="34">
        <f t="shared" si="71"/>
        <v>2828104.527</v>
      </c>
      <c r="F269" s="34">
        <f t="shared" si="71"/>
        <v>1886204.527</v>
      </c>
      <c r="G269" s="7"/>
      <c r="H269" s="7"/>
      <c r="I269" s="7"/>
      <c r="J269" s="7"/>
      <c r="K269" s="7"/>
      <c r="L269" s="7"/>
      <c r="M269" s="7"/>
      <c r="N269" s="7"/>
    </row>
    <row r="270">
      <c r="A270" s="2"/>
      <c r="B270" s="171" t="s">
        <v>449</v>
      </c>
      <c r="C270" s="172" t="str">
        <f t="shared" ref="C270:F270" si="72">IF(ABS(C264-C269)&lt;1,"OK","ERROR")</f>
        <v>OK</v>
      </c>
      <c r="D270" s="172" t="str">
        <f t="shared" si="72"/>
        <v>OK</v>
      </c>
      <c r="E270" s="172" t="str">
        <f t="shared" si="72"/>
        <v>OK</v>
      </c>
      <c r="F270" s="172" t="str">
        <f t="shared" si="72"/>
        <v>OK</v>
      </c>
      <c r="G270" s="2"/>
      <c r="H270" s="2"/>
      <c r="I270" s="2"/>
      <c r="J270" s="2"/>
      <c r="K270" s="2"/>
      <c r="L270" s="2"/>
      <c r="M270" s="2"/>
      <c r="N270" s="2"/>
    </row>
    <row r="271">
      <c r="A271" s="7"/>
      <c r="B271" s="13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</row>
    <row r="272">
      <c r="A272" s="164"/>
      <c r="B272" s="165" t="s">
        <v>531</v>
      </c>
      <c r="C272" s="4"/>
      <c r="D272" s="4"/>
      <c r="E272" s="4"/>
      <c r="F272" s="5"/>
      <c r="G272" s="190"/>
      <c r="H272" s="190"/>
      <c r="I272" s="190"/>
      <c r="J272" s="190"/>
      <c r="K272" s="190"/>
      <c r="L272" s="190"/>
      <c r="M272" s="190"/>
      <c r="N272" s="190"/>
      <c r="O272" s="164"/>
      <c r="P272" s="164"/>
      <c r="Q272" s="164"/>
      <c r="R272" s="164"/>
      <c r="S272" s="164"/>
      <c r="T272" s="164"/>
      <c r="U272" s="164"/>
      <c r="V272" s="164"/>
      <c r="W272" s="164"/>
      <c r="X272" s="164"/>
      <c r="Y272" s="164"/>
      <c r="Z272" s="164"/>
    </row>
    <row r="273">
      <c r="A273" s="164"/>
      <c r="B273" s="178" t="s">
        <v>453</v>
      </c>
      <c r="C273" s="179" t="s">
        <v>349</v>
      </c>
      <c r="D273" s="179" t="s">
        <v>365</v>
      </c>
      <c r="E273" s="179" t="s">
        <v>350</v>
      </c>
      <c r="F273" s="164"/>
      <c r="G273" s="164"/>
      <c r="H273" s="164"/>
      <c r="I273" s="164"/>
      <c r="J273" s="164"/>
      <c r="K273" s="164"/>
      <c r="L273" s="164"/>
      <c r="M273" s="164"/>
      <c r="N273" s="164"/>
      <c r="O273" s="164"/>
      <c r="P273" s="164"/>
      <c r="Q273" s="164"/>
      <c r="R273" s="164"/>
      <c r="S273" s="164"/>
      <c r="T273" s="164"/>
      <c r="U273" s="164"/>
      <c r="V273" s="164"/>
      <c r="W273" s="164"/>
      <c r="X273" s="164"/>
      <c r="Y273" s="164"/>
      <c r="Z273" s="164"/>
    </row>
    <row r="274">
      <c r="A274" s="2"/>
      <c r="B274" s="92" t="s">
        <v>18</v>
      </c>
      <c r="C274" s="26">
        <f t="array" ref="C274">C209+NPV(C14,D209:M209)</f>
        <v>-36895015.96</v>
      </c>
      <c r="D274" s="26">
        <f t="array" ref="D274">C219+NPV(C14,D219:M219)</f>
        <v>28742303.27</v>
      </c>
      <c r="E274" s="26">
        <f t="array" ref="E274">C229+NPV(C14,D229:M229)</f>
        <v>382899220.9</v>
      </c>
      <c r="F274" s="2"/>
      <c r="G274" s="2"/>
      <c r="H274" s="2"/>
      <c r="I274" s="2"/>
      <c r="J274" s="2"/>
      <c r="K274" s="2"/>
      <c r="L274" s="2"/>
      <c r="M274" s="2"/>
      <c r="N274" s="2"/>
    </row>
    <row r="275">
      <c r="A275" s="7"/>
      <c r="B275" s="96" t="s">
        <v>19</v>
      </c>
      <c r="C275" s="24" t="str">
        <f>IFERROR(IRR(C209:M209,0.2),"-")</f>
        <v>-</v>
      </c>
      <c r="D275" s="24">
        <f>IFERROR(IRR(C219:M219,0.2),"-")</f>
        <v>1.103242758</v>
      </c>
      <c r="E275" s="24">
        <f>IFERROR(IRR(C229:M229,0.2),"-")</f>
        <v>10.07335224</v>
      </c>
      <c r="F275" s="7"/>
      <c r="G275" s="7"/>
      <c r="H275" s="7"/>
      <c r="I275" s="7"/>
      <c r="J275" s="7"/>
      <c r="K275" s="7"/>
      <c r="L275" s="7"/>
      <c r="M275" s="7"/>
      <c r="N275" s="7"/>
    </row>
    <row r="276">
      <c r="A276" s="2"/>
      <c r="B276" s="92" t="s">
        <v>20</v>
      </c>
      <c r="C276" s="36" t="str">
        <f>IFERROR(IRR(C209:M209,0.2),"-")</f>
        <v>-</v>
      </c>
      <c r="D276" s="36">
        <f>IFERROR(IRR(C219:M219,0.2),"-")</f>
        <v>1.103242758</v>
      </c>
      <c r="E276" s="36">
        <f>IFERROR(IRR(C229:M229,0.2),"-")</f>
        <v>10.07335224</v>
      </c>
      <c r="F276" s="2"/>
      <c r="G276" s="2"/>
      <c r="H276" s="2"/>
      <c r="I276" s="2"/>
      <c r="J276" s="2"/>
      <c r="K276" s="2"/>
      <c r="L276" s="2"/>
      <c r="M276" s="2"/>
      <c r="N276" s="2"/>
    </row>
    <row r="277">
      <c r="A277" s="7"/>
      <c r="B277" s="96" t="s">
        <v>21</v>
      </c>
      <c r="C277" s="41">
        <f>IF(D209&gt;0,-C209/(D209/12),999)</f>
        <v>999</v>
      </c>
      <c r="D277" s="41">
        <f>IF(D219&gt;0,-C219/(D219/12),999)</f>
        <v>15.4207653</v>
      </c>
      <c r="E277" s="41">
        <f>IF(D229&gt;0,-C229/(D229/12),999)</f>
        <v>1.25079122</v>
      </c>
      <c r="F277" s="7"/>
      <c r="G277" s="7"/>
      <c r="H277" s="7"/>
      <c r="I277" s="7"/>
      <c r="J277" s="7"/>
      <c r="K277" s="7"/>
      <c r="L277" s="7"/>
      <c r="M277" s="7"/>
      <c r="N277" s="7"/>
    </row>
    <row r="278">
      <c r="A278" s="2"/>
      <c r="B278" s="92" t="s">
        <v>22</v>
      </c>
      <c r="C278" s="40">
        <f t="shared" ref="C278:E278" si="73">C277*1.15</f>
        <v>1148.85</v>
      </c>
      <c r="D278" s="40">
        <f t="shared" si="73"/>
        <v>17.73388009</v>
      </c>
      <c r="E278" s="40">
        <f t="shared" si="73"/>
        <v>1.438409903</v>
      </c>
      <c r="F278" s="2"/>
      <c r="G278" s="2"/>
      <c r="H278" s="2"/>
      <c r="I278" s="2"/>
      <c r="J278" s="2"/>
      <c r="K278" s="2"/>
      <c r="L278" s="2"/>
      <c r="M278" s="2"/>
      <c r="N278" s="2"/>
    </row>
    <row r="279">
      <c r="A279" s="7"/>
      <c r="B279" s="96" t="s">
        <v>23</v>
      </c>
      <c r="C279" s="45">
        <f>IF(-C209&gt;0,SUM(D209:M209)/-C209,0)</f>
        <v>-14.12167378</v>
      </c>
      <c r="D279" s="45">
        <f>IF(-C219&gt;0,SUM(D219:M219)/-C219,0)</f>
        <v>16.10472342</v>
      </c>
      <c r="E279" s="45">
        <f>IF(-C229&gt;0,SUM(D229:M229)/-C229,0)</f>
        <v>179.1962054</v>
      </c>
      <c r="F279" s="7"/>
      <c r="G279" s="7"/>
      <c r="H279" s="7"/>
      <c r="I279" s="7"/>
      <c r="J279" s="7"/>
      <c r="K279" s="7"/>
      <c r="L279" s="7"/>
      <c r="M279" s="7"/>
      <c r="N279" s="7"/>
    </row>
    <row r="280">
      <c r="A280" s="2"/>
      <c r="B280" s="92" t="s">
        <v>16</v>
      </c>
      <c r="C280" s="26">
        <f t="shared" ref="C280:C281" si="74">E104</f>
        <v>-8143856.616</v>
      </c>
      <c r="D280" s="26">
        <f t="shared" ref="D280:D281" si="75">E122</f>
        <v>10077625.52</v>
      </c>
      <c r="E280" s="26">
        <f t="shared" ref="E280:E281" si="76">E140</f>
        <v>108394619.9</v>
      </c>
      <c r="F280" s="2"/>
      <c r="G280" s="2"/>
      <c r="H280" s="2"/>
      <c r="I280" s="2"/>
      <c r="J280" s="2"/>
      <c r="K280" s="2"/>
      <c r="L280" s="2"/>
      <c r="M280" s="2"/>
      <c r="N280" s="2"/>
    </row>
    <row r="281">
      <c r="A281" s="7"/>
      <c r="B281" s="96" t="s">
        <v>17</v>
      </c>
      <c r="C281" s="24">
        <f t="shared" si="74"/>
        <v>-0.2066664093</v>
      </c>
      <c r="D281" s="24">
        <f t="shared" si="75"/>
        <v>0.1748759258</v>
      </c>
      <c r="E281" s="24">
        <f t="shared" si="76"/>
        <v>0.6950855622</v>
      </c>
      <c r="F281" s="7"/>
      <c r="G281" s="7"/>
      <c r="H281" s="7"/>
      <c r="I281" s="7"/>
      <c r="J281" s="7"/>
      <c r="K281" s="7"/>
      <c r="L281" s="7"/>
      <c r="M281" s="7"/>
      <c r="N281" s="7"/>
    </row>
    <row r="282">
      <c r="A282" s="2"/>
      <c r="B282" s="92" t="s">
        <v>25</v>
      </c>
      <c r="C282" s="42">
        <f>IF(D169&gt;0,C104/D169,"-")</f>
        <v>-5.820650745</v>
      </c>
      <c r="D282" s="42">
        <f>IF(D183&gt;0,C122/D183,"-")</f>
        <v>7.20277152</v>
      </c>
      <c r="E282" s="42">
        <f>IF(D197&gt;0,C140/D197,"-")</f>
        <v>77.47278163</v>
      </c>
      <c r="F282" s="2"/>
      <c r="G282" s="2"/>
      <c r="H282" s="2"/>
      <c r="I282" s="2"/>
      <c r="J282" s="2"/>
      <c r="K282" s="2"/>
      <c r="L282" s="2"/>
      <c r="M282" s="2"/>
      <c r="N282" s="2"/>
    </row>
    <row r="283">
      <c r="A283" s="7"/>
      <c r="B283" s="96" t="s">
        <v>26</v>
      </c>
      <c r="C283" s="129">
        <f>IF(D94&gt;0,C80/(D94/(C34*1000))*1/C10,0)</f>
        <v>27586.13172</v>
      </c>
      <c r="D283" s="129">
        <f>IF(E94&gt;0,C80/(E94/(C34*1000))*1/C10,0)</f>
        <v>18863.52451</v>
      </c>
      <c r="E283" s="129">
        <f>IF(F94&gt;0,C80/(F94/(C34*1000))*1/C10,0)</f>
        <v>6970.783125</v>
      </c>
      <c r="F283" s="7"/>
      <c r="G283" s="7"/>
      <c r="H283" s="7"/>
      <c r="I283" s="7"/>
      <c r="J283" s="7"/>
      <c r="K283" s="7"/>
      <c r="L283" s="7"/>
      <c r="M283" s="7"/>
      <c r="N283" s="7"/>
    </row>
    <row r="284">
      <c r="A284" s="2"/>
      <c r="B284" s="92" t="s">
        <v>454</v>
      </c>
      <c r="C284" s="42">
        <f>IF(C80&gt;0,D94/C80,0)</f>
        <v>0.8287294585</v>
      </c>
      <c r="D284" s="42">
        <f>IF(C80&gt;0,E94/C80,0)</f>
        <v>1.211938945</v>
      </c>
      <c r="E284" s="42">
        <f>IF(C80&gt;0,F94/C80,0)</f>
        <v>3.279608559</v>
      </c>
      <c r="F284" s="2"/>
      <c r="G284" s="2"/>
      <c r="H284" s="2"/>
      <c r="I284" s="2"/>
      <c r="J284" s="2"/>
      <c r="K284" s="2"/>
      <c r="L284" s="2"/>
      <c r="M284" s="2"/>
      <c r="N284" s="2"/>
    </row>
    <row r="285">
      <c r="A285" s="7"/>
      <c r="B285" s="96" t="s">
        <v>455</v>
      </c>
      <c r="C285" s="20">
        <f>L104*C28</f>
        <v>-40719283.08</v>
      </c>
      <c r="D285" s="20">
        <f>L122*C28</f>
        <v>50388127.61</v>
      </c>
      <c r="E285" s="20">
        <f>L140*C28</f>
        <v>541973099.6</v>
      </c>
      <c r="F285" s="7"/>
      <c r="G285" s="7"/>
      <c r="H285" s="7"/>
      <c r="I285" s="7"/>
      <c r="J285" s="7"/>
      <c r="K285" s="7"/>
      <c r="L285" s="7"/>
      <c r="M285" s="7"/>
      <c r="N285" s="7"/>
    </row>
    <row r="286">
      <c r="A286" s="2"/>
      <c r="B286" s="92" t="s">
        <v>14</v>
      </c>
      <c r="C286" s="26">
        <f>C102/12</f>
        <v>1641908.621</v>
      </c>
      <c r="D286" s="26">
        <f>C120/12</f>
        <v>2401137.043</v>
      </c>
      <c r="E286" s="26">
        <f>C138/12</f>
        <v>6497678.477</v>
      </c>
      <c r="F286" s="2"/>
      <c r="G286" s="2"/>
      <c r="H286" s="2"/>
      <c r="I286" s="2"/>
      <c r="J286" s="2"/>
      <c r="K286" s="2"/>
      <c r="L286" s="2"/>
      <c r="M286" s="2"/>
      <c r="N286" s="2"/>
    </row>
    <row r="287">
      <c r="A287" s="7"/>
      <c r="B287" s="96" t="s">
        <v>15</v>
      </c>
      <c r="C287" s="20">
        <f>E102/12</f>
        <v>3283817.242</v>
      </c>
      <c r="D287" s="20">
        <f>E120/12</f>
        <v>4802274.086</v>
      </c>
      <c r="E287" s="20">
        <f>E138/12</f>
        <v>12995356.95</v>
      </c>
      <c r="F287" s="7"/>
      <c r="G287" s="7"/>
      <c r="H287" s="7"/>
      <c r="I287" s="7"/>
      <c r="J287" s="7"/>
      <c r="K287" s="7"/>
      <c r="L287" s="7"/>
      <c r="M287" s="7"/>
      <c r="N287" s="7"/>
    </row>
    <row r="288">
      <c r="A288" s="2"/>
      <c r="B288" s="92" t="s">
        <v>12</v>
      </c>
      <c r="C288" s="26">
        <f>C64*(1-C29)</f>
        <v>1546001.811</v>
      </c>
      <c r="D288" s="26">
        <f>C64*(1-C29)</f>
        <v>1546001.811</v>
      </c>
      <c r="E288" s="26">
        <f>C64*(1-C29)</f>
        <v>1546001.811</v>
      </c>
      <c r="F288" s="2"/>
      <c r="G288" s="2"/>
      <c r="H288" s="2"/>
      <c r="I288" s="2"/>
      <c r="J288" s="2"/>
      <c r="K288" s="2"/>
      <c r="L288" s="2"/>
      <c r="M288" s="2"/>
      <c r="N288" s="2"/>
    </row>
    <row r="289">
      <c r="A289" s="7"/>
      <c r="B289" s="13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</row>
    <row r="290">
      <c r="A290" s="164"/>
      <c r="B290" s="165" t="s">
        <v>532</v>
      </c>
      <c r="C290" s="4"/>
      <c r="D290" s="4"/>
      <c r="E290" s="4"/>
      <c r="F290" s="4"/>
      <c r="G290" s="4"/>
      <c r="H290" s="5"/>
      <c r="I290" s="190"/>
      <c r="J290" s="190"/>
      <c r="K290" s="190"/>
      <c r="L290" s="190"/>
      <c r="M290" s="190"/>
      <c r="N290" s="190"/>
      <c r="O290" s="164"/>
      <c r="P290" s="164"/>
      <c r="Q290" s="164"/>
      <c r="R290" s="164"/>
      <c r="S290" s="164"/>
      <c r="T290" s="164"/>
      <c r="U290" s="164"/>
      <c r="V290" s="164"/>
      <c r="W290" s="164"/>
      <c r="X290" s="164"/>
      <c r="Y290" s="164"/>
      <c r="Z290" s="164"/>
    </row>
    <row r="291">
      <c r="A291" s="164"/>
      <c r="B291" s="186" t="s">
        <v>457</v>
      </c>
      <c r="C291" s="4"/>
      <c r="D291" s="4"/>
      <c r="E291" s="4"/>
      <c r="F291" s="4"/>
      <c r="G291" s="4"/>
      <c r="H291" s="5"/>
      <c r="I291" s="164"/>
      <c r="J291" s="164"/>
      <c r="K291" s="164"/>
      <c r="L291" s="164"/>
      <c r="M291" s="164"/>
      <c r="N291" s="164"/>
      <c r="O291" s="164"/>
      <c r="P291" s="164"/>
      <c r="Q291" s="164"/>
      <c r="R291" s="164"/>
      <c r="S291" s="164"/>
      <c r="T291" s="164"/>
      <c r="U291" s="164"/>
      <c r="V291" s="164"/>
      <c r="W291" s="164"/>
      <c r="X291" s="164"/>
      <c r="Y291" s="164"/>
      <c r="Z291" s="164"/>
    </row>
    <row r="292">
      <c r="A292" s="164"/>
      <c r="B292" s="178" t="s">
        <v>458</v>
      </c>
      <c r="C292" s="179" t="s">
        <v>349</v>
      </c>
      <c r="D292" s="179" t="s">
        <v>365</v>
      </c>
      <c r="E292" s="179" t="s">
        <v>350</v>
      </c>
      <c r="F292" s="164"/>
      <c r="G292" s="164"/>
      <c r="H292" s="164"/>
      <c r="I292" s="164"/>
      <c r="J292" s="164"/>
      <c r="K292" s="164"/>
      <c r="L292" s="164"/>
      <c r="M292" s="164"/>
      <c r="N292" s="164"/>
      <c r="O292" s="164"/>
      <c r="P292" s="164"/>
      <c r="Q292" s="164"/>
      <c r="R292" s="164"/>
      <c r="S292" s="164"/>
      <c r="T292" s="164"/>
      <c r="U292" s="164"/>
      <c r="V292" s="164"/>
      <c r="W292" s="164"/>
      <c r="X292" s="164"/>
      <c r="Y292" s="164"/>
      <c r="Z292" s="164"/>
    </row>
    <row r="293">
      <c r="A293" s="7"/>
      <c r="B293" s="96" t="s">
        <v>459</v>
      </c>
      <c r="C293" s="20">
        <f>D94*(1+-0.2)-C80</f>
        <v>-1335418.166</v>
      </c>
      <c r="D293" s="20">
        <f>E94*(1+-0.2)-C80</f>
        <v>-120652.6905</v>
      </c>
      <c r="E293" s="20">
        <f>F94*(1+-0.2)-C80</f>
        <v>6433813.603</v>
      </c>
      <c r="F293" s="7"/>
      <c r="G293" s="7"/>
      <c r="H293" s="7"/>
      <c r="I293" s="7"/>
      <c r="J293" s="7"/>
      <c r="K293" s="7"/>
      <c r="L293" s="7"/>
      <c r="M293" s="7"/>
      <c r="N293" s="7"/>
    </row>
    <row r="294">
      <c r="A294" s="2"/>
      <c r="B294" s="92" t="s">
        <v>460</v>
      </c>
      <c r="C294" s="26">
        <f>D94*(1+-0.1)-C80</f>
        <v>-1007036.442</v>
      </c>
      <c r="D294" s="26">
        <f>E94*(1+-0.1)-C80</f>
        <v>359574.7182</v>
      </c>
      <c r="E294" s="26">
        <f>F94*(1+-0.1)-C80</f>
        <v>7733349.299</v>
      </c>
      <c r="F294" s="2"/>
      <c r="G294" s="2"/>
      <c r="H294" s="2"/>
      <c r="I294" s="2"/>
      <c r="J294" s="2"/>
      <c r="K294" s="2"/>
      <c r="L294" s="2"/>
      <c r="M294" s="2"/>
      <c r="N294" s="2"/>
    </row>
    <row r="295">
      <c r="A295" s="7"/>
      <c r="B295" s="96" t="s">
        <v>461</v>
      </c>
      <c r="C295" s="20">
        <f>D94*(1+0)-C80</f>
        <v>-678654.718</v>
      </c>
      <c r="D295" s="20">
        <f>E94*(1+0)-C80</f>
        <v>839802.1268</v>
      </c>
      <c r="E295" s="20">
        <f>F94*(1+0)-C80</f>
        <v>9032884.994</v>
      </c>
      <c r="F295" s="7"/>
      <c r="G295" s="7"/>
      <c r="H295" s="7"/>
      <c r="I295" s="7"/>
      <c r="J295" s="7"/>
      <c r="K295" s="7"/>
      <c r="L295" s="7"/>
      <c r="M295" s="7"/>
      <c r="N295" s="7"/>
    </row>
    <row r="296">
      <c r="A296" s="2"/>
      <c r="B296" s="92" t="s">
        <v>462</v>
      </c>
      <c r="C296" s="26">
        <f>D94*(1+0.1)-C80</f>
        <v>-350272.9938</v>
      </c>
      <c r="D296" s="26">
        <f>E94*(1+0.1)-C80</f>
        <v>1320029.535</v>
      </c>
      <c r="E296" s="26">
        <f>F94*(1+0.1)-C80</f>
        <v>10332420.69</v>
      </c>
      <c r="F296" s="2"/>
      <c r="G296" s="2"/>
      <c r="H296" s="2"/>
      <c r="I296" s="2"/>
      <c r="J296" s="2"/>
      <c r="K296" s="2"/>
      <c r="L296" s="2"/>
      <c r="M296" s="2"/>
      <c r="N296" s="2"/>
    </row>
    <row r="297">
      <c r="A297" s="7"/>
      <c r="B297" s="96" t="s">
        <v>463</v>
      </c>
      <c r="C297" s="20">
        <f>D94*(1+0.2)-C80</f>
        <v>-21891.26969</v>
      </c>
      <c r="D297" s="20">
        <f>E94*(1+0.2)-C80</f>
        <v>1800256.944</v>
      </c>
      <c r="E297" s="20">
        <f>F94*(1+0.2)-C80</f>
        <v>11631956.38</v>
      </c>
      <c r="F297" s="7"/>
      <c r="G297" s="7"/>
      <c r="H297" s="7"/>
      <c r="I297" s="7"/>
      <c r="J297" s="7"/>
      <c r="K297" s="7"/>
      <c r="L297" s="7"/>
      <c r="M297" s="7"/>
      <c r="N297" s="7"/>
    </row>
    <row r="298">
      <c r="A298" s="2"/>
      <c r="B298" s="11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</row>
    <row r="299">
      <c r="A299" s="7"/>
      <c r="B299" s="163" t="s">
        <v>464</v>
      </c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</row>
    <row r="300">
      <c r="A300" s="2"/>
      <c r="B300" s="92" t="s">
        <v>465</v>
      </c>
      <c r="C300" s="26">
        <f>D94*0.5-C80</f>
        <v>-2320563.339</v>
      </c>
      <c r="D300" s="26">
        <f>E94*0.5-C80</f>
        <v>-1561334.916</v>
      </c>
      <c r="E300" s="26">
        <f>F94*0.5-C80</f>
        <v>2535206.517</v>
      </c>
      <c r="F300" s="2"/>
      <c r="G300" s="2"/>
      <c r="H300" s="2"/>
      <c r="I300" s="2"/>
      <c r="J300" s="2"/>
      <c r="K300" s="2"/>
      <c r="L300" s="2"/>
      <c r="M300" s="2"/>
      <c r="N300" s="2"/>
    </row>
    <row r="301">
      <c r="A301" s="7"/>
      <c r="B301" s="13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</row>
    <row r="302">
      <c r="A302" s="2"/>
      <c r="B302" s="176" t="s">
        <v>533</v>
      </c>
      <c r="K302" s="2"/>
      <c r="L302" s="2"/>
      <c r="M302" s="2"/>
      <c r="N302" s="2"/>
    </row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30">
    <mergeCell ref="B2:F2"/>
    <mergeCell ref="B33:F33"/>
    <mergeCell ref="B46:N46"/>
    <mergeCell ref="B58:F58"/>
    <mergeCell ref="B66:F66"/>
    <mergeCell ref="B81:H81"/>
    <mergeCell ref="B83:H83"/>
    <mergeCell ref="H86:K91"/>
    <mergeCell ref="B95:H95"/>
    <mergeCell ref="B97:N97"/>
    <mergeCell ref="B98:N98"/>
    <mergeCell ref="B116:N116"/>
    <mergeCell ref="B134:N134"/>
    <mergeCell ref="B152:H152"/>
    <mergeCell ref="B158:N158"/>
    <mergeCell ref="B159:N159"/>
    <mergeCell ref="B173:N173"/>
    <mergeCell ref="B187:N187"/>
    <mergeCell ref="B201:N201"/>
    <mergeCell ref="B202:N202"/>
    <mergeCell ref="B212:N212"/>
    <mergeCell ref="B291:H291"/>
    <mergeCell ref="B302:J302"/>
    <mergeCell ref="B222:N222"/>
    <mergeCell ref="B232:H232"/>
    <mergeCell ref="B233:H233"/>
    <mergeCell ref="B246:H246"/>
    <mergeCell ref="B259:H259"/>
    <mergeCell ref="B272:F272"/>
    <mergeCell ref="B290:H290"/>
  </mergeCells>
  <conditionalFormatting sqref="C293:E297">
    <cfRule type="cellIs" dxfId="6" priority="1" operator="greaterThan">
      <formula>0</formula>
    </cfRule>
  </conditionalFormatting>
  <conditionalFormatting sqref="C293:E297">
    <cfRule type="cellIs" dxfId="7" priority="2" operator="lessThan">
      <formula>0</formula>
    </cfRule>
  </conditionalFormatting>
  <conditionalFormatting sqref="C293:E297">
    <cfRule type="cellIs" dxfId="8" priority="3" operator="equal">
      <formula>0</formula>
    </cfRule>
  </conditionalFormatting>
  <printOptions/>
  <pageMargins bottom="1.0" footer="0.0" header="0.0" left="0.75" right="0.75" top="1.0"/>
  <pageSetup fitToHeight="0" orientation="landscape"/>
  <drawing r:id="rId4"/>
  <legacy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.29"/>
    <col customWidth="1" min="2" max="2" width="30.86"/>
    <col customWidth="1" min="3" max="5" width="16.0"/>
    <col customWidth="1" min="6" max="6" width="18.0"/>
    <col customWidth="1" min="7" max="7" width="16.0"/>
    <col customWidth="1" min="8" max="8" width="12.0"/>
    <col customWidth="1" min="9" max="9" width="14.0"/>
    <col customWidth="1" min="10" max="10" width="12.0"/>
    <col customWidth="1" min="11" max="12" width="14.0"/>
    <col customWidth="1" min="13" max="13" width="16.0"/>
    <col customWidth="1" min="14" max="14" width="18.0"/>
    <col customWidth="1" min="15" max="26" width="8.71"/>
  </cols>
  <sheetData>
    <row r="1" ht="22.5" customHeight="1">
      <c r="A1" s="81"/>
      <c r="B1" s="88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</row>
    <row r="2" ht="18.75" customHeight="1">
      <c r="A2" s="82"/>
      <c r="B2" s="89" t="s">
        <v>534</v>
      </c>
      <c r="C2" s="4"/>
      <c r="D2" s="4"/>
      <c r="E2" s="4"/>
      <c r="F2" s="5"/>
      <c r="G2" s="82"/>
      <c r="H2" s="82"/>
      <c r="I2" s="82"/>
      <c r="J2" s="82"/>
      <c r="K2" s="82"/>
      <c r="L2" s="82"/>
      <c r="M2" s="82"/>
      <c r="N2" s="82"/>
    </row>
    <row r="3" ht="16.5" customHeight="1">
      <c r="A3" s="84"/>
      <c r="B3" s="90" t="s">
        <v>233</v>
      </c>
      <c r="C3" s="91" t="s">
        <v>234</v>
      </c>
      <c r="D3" s="91" t="s">
        <v>235</v>
      </c>
      <c r="E3" s="91" t="s">
        <v>236</v>
      </c>
      <c r="F3" s="91"/>
      <c r="G3" s="84"/>
      <c r="H3" s="84"/>
      <c r="I3" s="84"/>
      <c r="J3" s="84"/>
      <c r="K3" s="84"/>
      <c r="L3" s="84"/>
      <c r="M3" s="84"/>
      <c r="N3" s="84"/>
    </row>
    <row r="4">
      <c r="A4" s="2"/>
      <c r="B4" s="92" t="s">
        <v>237</v>
      </c>
      <c r="C4" s="93">
        <v>17.1</v>
      </c>
      <c r="D4" s="94" t="s">
        <v>238</v>
      </c>
      <c r="E4" s="95"/>
      <c r="F4" s="2"/>
      <c r="G4" s="2"/>
      <c r="H4" s="2"/>
      <c r="I4" s="2"/>
      <c r="J4" s="2"/>
      <c r="K4" s="2"/>
      <c r="L4" s="2"/>
      <c r="M4" s="2"/>
      <c r="N4" s="2"/>
    </row>
    <row r="5">
      <c r="A5" s="7"/>
      <c r="B5" s="96" t="s">
        <v>239</v>
      </c>
      <c r="C5" s="97">
        <v>3.0</v>
      </c>
      <c r="D5" s="98" t="s">
        <v>240</v>
      </c>
      <c r="E5" s="99" t="s">
        <v>241</v>
      </c>
      <c r="F5" s="7"/>
      <c r="G5" s="7"/>
      <c r="H5" s="7"/>
      <c r="I5" s="7"/>
      <c r="J5" s="7"/>
      <c r="K5" s="7"/>
      <c r="L5" s="7"/>
      <c r="M5" s="7"/>
      <c r="N5" s="7"/>
    </row>
    <row r="6">
      <c r="A6" s="2"/>
      <c r="B6" s="92" t="s">
        <v>242</v>
      </c>
      <c r="C6" s="93">
        <v>18.5</v>
      </c>
      <c r="D6" s="94" t="s">
        <v>243</v>
      </c>
      <c r="E6" s="95" t="s">
        <v>244</v>
      </c>
      <c r="F6" s="2"/>
      <c r="G6" s="2"/>
      <c r="H6" s="2"/>
      <c r="I6" s="2"/>
      <c r="J6" s="2"/>
      <c r="K6" s="2"/>
      <c r="L6" s="2"/>
      <c r="M6" s="2"/>
      <c r="N6" s="2"/>
    </row>
    <row r="7">
      <c r="A7" s="7"/>
      <c r="B7" s="96" t="s">
        <v>245</v>
      </c>
      <c r="C7" s="100">
        <v>26.0</v>
      </c>
      <c r="D7" s="98" t="s">
        <v>246</v>
      </c>
      <c r="E7" s="99" t="s">
        <v>244</v>
      </c>
      <c r="F7" s="7"/>
      <c r="G7" s="7"/>
      <c r="H7" s="7"/>
      <c r="I7" s="7"/>
      <c r="J7" s="7"/>
      <c r="K7" s="7"/>
      <c r="L7" s="7"/>
      <c r="M7" s="7"/>
      <c r="N7" s="7"/>
    </row>
    <row r="8">
      <c r="A8" s="2"/>
      <c r="B8" s="92" t="s">
        <v>247</v>
      </c>
      <c r="C8" s="93">
        <v>1.1</v>
      </c>
      <c r="D8" s="94" t="s">
        <v>248</v>
      </c>
      <c r="E8" s="95"/>
      <c r="F8" s="2"/>
      <c r="G8" s="2"/>
      <c r="H8" s="2"/>
      <c r="I8" s="2"/>
      <c r="J8" s="2"/>
      <c r="K8" s="2"/>
      <c r="L8" s="2"/>
      <c r="M8" s="2"/>
      <c r="N8" s="2"/>
    </row>
    <row r="9">
      <c r="A9" s="7"/>
      <c r="B9" s="96" t="s">
        <v>249</v>
      </c>
      <c r="C9" s="101">
        <v>300.0</v>
      </c>
      <c r="D9" s="98" t="s">
        <v>250</v>
      </c>
      <c r="E9" s="99"/>
      <c r="F9" s="7"/>
      <c r="G9" s="7"/>
      <c r="H9" s="7"/>
      <c r="I9" s="7"/>
      <c r="J9" s="7"/>
      <c r="K9" s="7"/>
      <c r="L9" s="7"/>
      <c r="M9" s="7"/>
      <c r="N9" s="7"/>
    </row>
    <row r="10">
      <c r="A10" s="2"/>
      <c r="B10" s="92" t="s">
        <v>251</v>
      </c>
      <c r="C10" s="102">
        <v>25.0</v>
      </c>
      <c r="D10" s="94" t="s">
        <v>250</v>
      </c>
      <c r="E10" s="95"/>
      <c r="F10" s="2"/>
      <c r="G10" s="2"/>
      <c r="H10" s="2"/>
      <c r="I10" s="2"/>
      <c r="J10" s="2"/>
      <c r="K10" s="2"/>
      <c r="L10" s="2"/>
      <c r="M10" s="2"/>
      <c r="N10" s="2"/>
    </row>
    <row r="11">
      <c r="A11" s="7"/>
      <c r="B11" s="96" t="s">
        <v>252</v>
      </c>
      <c r="C11" s="103">
        <v>0.1</v>
      </c>
      <c r="D11" s="98" t="s">
        <v>253</v>
      </c>
      <c r="E11" s="99"/>
      <c r="F11" s="7"/>
      <c r="G11" s="7"/>
      <c r="H11" s="7"/>
      <c r="I11" s="7"/>
      <c r="J11" s="7"/>
      <c r="K11" s="7"/>
      <c r="L11" s="7"/>
      <c r="M11" s="7"/>
      <c r="N11" s="7"/>
    </row>
    <row r="12">
      <c r="A12" s="2"/>
      <c r="B12" s="92" t="s">
        <v>255</v>
      </c>
      <c r="C12" s="102">
        <v>65.0</v>
      </c>
      <c r="D12" s="94" t="s">
        <v>256</v>
      </c>
      <c r="E12" s="95"/>
      <c r="F12" s="2"/>
      <c r="G12" s="2"/>
      <c r="H12" s="2"/>
      <c r="I12" s="2"/>
      <c r="J12" s="2"/>
      <c r="K12" s="2"/>
      <c r="L12" s="2"/>
      <c r="M12" s="2"/>
      <c r="N12" s="2"/>
    </row>
    <row r="13">
      <c r="A13" s="7"/>
      <c r="B13" s="96" t="s">
        <v>258</v>
      </c>
      <c r="C13" s="97">
        <v>1.35</v>
      </c>
      <c r="D13" s="98" t="s">
        <v>248</v>
      </c>
      <c r="E13" s="99"/>
      <c r="F13" s="7"/>
      <c r="G13" s="7"/>
      <c r="H13" s="7"/>
      <c r="I13" s="7"/>
      <c r="J13" s="7"/>
      <c r="K13" s="7"/>
      <c r="L13" s="7"/>
      <c r="M13" s="7"/>
      <c r="N13" s="7"/>
    </row>
    <row r="14">
      <c r="A14" s="2"/>
      <c r="B14" s="92" t="s">
        <v>259</v>
      </c>
      <c r="C14" s="106">
        <v>0.2</v>
      </c>
      <c r="D14" s="94" t="s">
        <v>253</v>
      </c>
      <c r="E14" s="95"/>
      <c r="F14" s="2"/>
      <c r="G14" s="2"/>
      <c r="H14" s="2"/>
      <c r="I14" s="2"/>
      <c r="J14" s="2"/>
      <c r="K14" s="2"/>
      <c r="L14" s="2"/>
      <c r="M14" s="2"/>
      <c r="N14" s="2"/>
    </row>
    <row r="15">
      <c r="A15" s="7"/>
      <c r="B15" s="96" t="s">
        <v>260</v>
      </c>
      <c r="C15" s="107">
        <v>0.3</v>
      </c>
      <c r="D15" s="98" t="s">
        <v>253</v>
      </c>
      <c r="E15" s="99"/>
      <c r="F15" s="7"/>
      <c r="G15" s="7"/>
      <c r="H15" s="7"/>
      <c r="I15" s="7"/>
      <c r="J15" s="7"/>
      <c r="K15" s="7"/>
      <c r="L15" s="7"/>
      <c r="M15" s="7"/>
      <c r="N15" s="7"/>
    </row>
    <row r="16">
      <c r="A16" s="2"/>
      <c r="B16" s="92" t="s">
        <v>261</v>
      </c>
      <c r="C16" s="106">
        <v>0.1</v>
      </c>
      <c r="D16" s="94" t="s">
        <v>253</v>
      </c>
      <c r="E16" s="95"/>
      <c r="F16" s="2"/>
      <c r="G16" s="2"/>
      <c r="H16" s="2"/>
      <c r="I16" s="2"/>
      <c r="J16" s="2"/>
      <c r="K16" s="2"/>
      <c r="L16" s="2"/>
      <c r="M16" s="2"/>
      <c r="N16" s="2"/>
    </row>
    <row r="17">
      <c r="A17" s="7"/>
      <c r="B17" s="96" t="s">
        <v>262</v>
      </c>
      <c r="C17" s="107">
        <v>0.05</v>
      </c>
      <c r="D17" s="98" t="s">
        <v>253</v>
      </c>
      <c r="E17" s="99"/>
      <c r="F17" s="7"/>
      <c r="G17" s="7"/>
      <c r="H17" s="7"/>
      <c r="I17" s="7"/>
      <c r="J17" s="7"/>
      <c r="K17" s="7"/>
      <c r="L17" s="7"/>
      <c r="M17" s="7"/>
      <c r="N17" s="7"/>
    </row>
    <row r="18">
      <c r="A18" s="2"/>
      <c r="B18" s="92" t="s">
        <v>263</v>
      </c>
      <c r="C18" s="102">
        <v>10.0</v>
      </c>
      <c r="D18" s="94" t="s">
        <v>264</v>
      </c>
      <c r="E18" s="95"/>
      <c r="F18" s="2"/>
      <c r="G18" s="2"/>
      <c r="H18" s="2"/>
      <c r="I18" s="2"/>
      <c r="J18" s="2"/>
      <c r="K18" s="2"/>
      <c r="L18" s="2"/>
      <c r="M18" s="2"/>
      <c r="N18" s="2"/>
    </row>
    <row r="19">
      <c r="A19" s="7"/>
      <c r="B19" s="96" t="s">
        <v>265</v>
      </c>
      <c r="C19" s="101">
        <v>4.0</v>
      </c>
      <c r="D19" s="98" t="s">
        <v>264</v>
      </c>
      <c r="E19" s="99"/>
      <c r="F19" s="7"/>
      <c r="G19" s="7"/>
      <c r="H19" s="7"/>
      <c r="I19" s="7"/>
      <c r="J19" s="7"/>
      <c r="K19" s="7"/>
      <c r="L19" s="7"/>
      <c r="M19" s="7"/>
      <c r="N19" s="7"/>
    </row>
    <row r="20">
      <c r="A20" s="2"/>
      <c r="B20" s="92" t="s">
        <v>266</v>
      </c>
      <c r="C20" s="102">
        <v>3.0</v>
      </c>
      <c r="D20" s="94" t="s">
        <v>264</v>
      </c>
      <c r="E20" s="95"/>
      <c r="F20" s="2"/>
      <c r="G20" s="2"/>
      <c r="H20" s="2"/>
      <c r="I20" s="2"/>
      <c r="J20" s="2"/>
      <c r="K20" s="2"/>
      <c r="L20" s="2"/>
      <c r="M20" s="2"/>
      <c r="N20" s="2"/>
    </row>
    <row r="21">
      <c r="A21" s="7"/>
      <c r="B21" s="96" t="s">
        <v>267</v>
      </c>
      <c r="C21" s="107">
        <v>0.75</v>
      </c>
      <c r="D21" s="98" t="s">
        <v>253</v>
      </c>
      <c r="E21" s="99"/>
      <c r="F21" s="7"/>
      <c r="G21" s="7"/>
      <c r="H21" s="7"/>
      <c r="I21" s="7"/>
      <c r="J21" s="7"/>
      <c r="K21" s="7"/>
      <c r="L21" s="7"/>
      <c r="M21" s="7"/>
      <c r="N21" s="7"/>
    </row>
    <row r="22">
      <c r="A22" s="2"/>
      <c r="B22" s="92" t="s">
        <v>268</v>
      </c>
      <c r="C22" s="106">
        <v>0.5</v>
      </c>
      <c r="D22" s="94" t="s">
        <v>253</v>
      </c>
      <c r="E22" s="95"/>
      <c r="F22" s="2"/>
      <c r="G22" s="2"/>
      <c r="H22" s="2"/>
      <c r="I22" s="2"/>
      <c r="J22" s="2"/>
      <c r="K22" s="2"/>
      <c r="L22" s="2"/>
      <c r="M22" s="2"/>
      <c r="N22" s="2"/>
    </row>
    <row r="23">
      <c r="A23" s="7"/>
      <c r="B23" s="96" t="s">
        <v>269</v>
      </c>
      <c r="C23" s="107">
        <v>0.75</v>
      </c>
      <c r="D23" s="98" t="s">
        <v>253</v>
      </c>
      <c r="E23" s="99"/>
      <c r="F23" s="7"/>
      <c r="G23" s="7"/>
      <c r="H23" s="7"/>
      <c r="I23" s="7"/>
      <c r="J23" s="7"/>
      <c r="K23" s="7"/>
      <c r="L23" s="7"/>
      <c r="M23" s="7"/>
      <c r="N23" s="7"/>
    </row>
    <row r="24">
      <c r="A24" s="2"/>
      <c r="B24" s="92" t="s">
        <v>270</v>
      </c>
      <c r="C24" s="106">
        <v>1.0</v>
      </c>
      <c r="D24" s="94" t="s">
        <v>253</v>
      </c>
      <c r="E24" s="95"/>
      <c r="F24" s="2"/>
      <c r="G24" s="2"/>
      <c r="H24" s="2"/>
      <c r="I24" s="2"/>
      <c r="J24" s="2"/>
      <c r="K24" s="2"/>
      <c r="L24" s="2"/>
      <c r="M24" s="2"/>
      <c r="N24" s="2"/>
    </row>
    <row r="25">
      <c r="A25" s="7"/>
      <c r="B25" s="96" t="s">
        <v>271</v>
      </c>
      <c r="C25" s="101">
        <v>30.0</v>
      </c>
      <c r="D25" s="98" t="s">
        <v>250</v>
      </c>
      <c r="E25" s="99"/>
      <c r="F25" s="7"/>
      <c r="G25" s="7"/>
      <c r="H25" s="7"/>
      <c r="I25" s="7"/>
      <c r="J25" s="7"/>
      <c r="K25" s="7"/>
      <c r="L25" s="7"/>
      <c r="M25" s="7"/>
      <c r="N25" s="7"/>
    </row>
    <row r="26">
      <c r="A26" s="2"/>
      <c r="B26" s="92" t="s">
        <v>272</v>
      </c>
      <c r="C26" s="102">
        <v>7.0</v>
      </c>
      <c r="D26" s="94" t="s">
        <v>250</v>
      </c>
      <c r="E26" s="95"/>
      <c r="F26" s="2"/>
      <c r="G26" s="2"/>
      <c r="H26" s="2"/>
      <c r="I26" s="2"/>
      <c r="J26" s="2"/>
      <c r="K26" s="2"/>
      <c r="L26" s="2"/>
      <c r="M26" s="2"/>
      <c r="N26" s="2"/>
    </row>
    <row r="27">
      <c r="A27" s="7"/>
      <c r="B27" s="96" t="s">
        <v>273</v>
      </c>
      <c r="C27" s="101">
        <v>15.0</v>
      </c>
      <c r="D27" s="98" t="s">
        <v>250</v>
      </c>
      <c r="E27" s="99"/>
      <c r="F27" s="7"/>
      <c r="G27" s="7"/>
      <c r="H27" s="7"/>
      <c r="I27" s="7"/>
      <c r="J27" s="7"/>
      <c r="K27" s="7"/>
      <c r="L27" s="7"/>
      <c r="M27" s="7"/>
      <c r="N27" s="7"/>
    </row>
    <row r="28">
      <c r="A28" s="2"/>
      <c r="B28" s="92" t="s">
        <v>274</v>
      </c>
      <c r="C28" s="111">
        <v>5.0</v>
      </c>
      <c r="D28" s="94" t="s">
        <v>248</v>
      </c>
      <c r="E28" s="95" t="s">
        <v>275</v>
      </c>
      <c r="F28" s="2"/>
      <c r="G28" s="2"/>
      <c r="H28" s="2"/>
      <c r="I28" s="2"/>
      <c r="J28" s="2"/>
      <c r="K28" s="2"/>
      <c r="L28" s="2"/>
      <c r="M28" s="2"/>
      <c r="N28" s="2"/>
    </row>
    <row r="29">
      <c r="A29" s="7"/>
      <c r="B29" s="96" t="s">
        <v>276</v>
      </c>
      <c r="C29" s="107">
        <v>0.6</v>
      </c>
      <c r="D29" s="98" t="s">
        <v>253</v>
      </c>
      <c r="E29" s="99" t="s">
        <v>277</v>
      </c>
      <c r="F29" s="7"/>
      <c r="G29" s="7"/>
      <c r="H29" s="7"/>
      <c r="I29" s="7"/>
      <c r="J29" s="7"/>
      <c r="K29" s="7"/>
      <c r="L29" s="7"/>
      <c r="M29" s="7"/>
      <c r="N29" s="7"/>
    </row>
    <row r="30">
      <c r="A30" s="2"/>
      <c r="B30" s="92" t="s">
        <v>278</v>
      </c>
      <c r="C30" s="106">
        <v>0.135</v>
      </c>
      <c r="D30" s="94" t="s">
        <v>279</v>
      </c>
      <c r="E30" s="95"/>
      <c r="F30" s="2"/>
      <c r="G30" s="2"/>
      <c r="H30" s="2"/>
      <c r="I30" s="2"/>
      <c r="J30" s="2"/>
      <c r="K30" s="2"/>
      <c r="L30" s="2"/>
      <c r="M30" s="2"/>
      <c r="N30" s="2"/>
    </row>
    <row r="31">
      <c r="A31" s="7"/>
      <c r="B31" s="96" t="s">
        <v>280</v>
      </c>
      <c r="C31" s="101">
        <v>6.0</v>
      </c>
      <c r="D31" s="98" t="s">
        <v>264</v>
      </c>
      <c r="E31" s="99"/>
      <c r="F31" s="7"/>
      <c r="G31" s="7"/>
      <c r="H31" s="7"/>
      <c r="I31" s="7"/>
      <c r="J31" s="7"/>
      <c r="K31" s="7"/>
      <c r="L31" s="7"/>
      <c r="M31" s="7"/>
      <c r="N31" s="7"/>
    </row>
    <row r="32">
      <c r="A32" s="2"/>
      <c r="B32" s="11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>
      <c r="A33" s="7"/>
      <c r="B33" s="113" t="s">
        <v>535</v>
      </c>
      <c r="C33" s="4"/>
      <c r="D33" s="4"/>
      <c r="E33" s="4"/>
      <c r="F33" s="5"/>
      <c r="G33" s="16"/>
      <c r="H33" s="16"/>
      <c r="I33" s="16"/>
      <c r="J33" s="16"/>
      <c r="K33" s="16"/>
      <c r="L33" s="16"/>
      <c r="M33" s="16"/>
      <c r="N33" s="16"/>
    </row>
    <row r="34">
      <c r="A34" s="2"/>
      <c r="B34" s="92" t="s">
        <v>282</v>
      </c>
      <c r="C34" s="109">
        <v>907.2</v>
      </c>
      <c r="D34" s="94" t="s">
        <v>283</v>
      </c>
      <c r="E34" s="95" t="s">
        <v>244</v>
      </c>
      <c r="F34" s="2"/>
      <c r="G34" s="2"/>
      <c r="H34" s="2"/>
      <c r="I34" s="2"/>
      <c r="J34" s="2"/>
      <c r="K34" s="2"/>
      <c r="L34" s="2"/>
      <c r="M34" s="2"/>
      <c r="N34" s="2"/>
    </row>
    <row r="35">
      <c r="A35" s="7"/>
      <c r="B35" s="96" t="s">
        <v>284</v>
      </c>
      <c r="C35" s="107">
        <v>0.3</v>
      </c>
      <c r="D35" s="98" t="s">
        <v>253</v>
      </c>
      <c r="E35" s="99" t="s">
        <v>285</v>
      </c>
      <c r="F35" s="7"/>
      <c r="G35" s="7"/>
      <c r="H35" s="7"/>
      <c r="I35" s="7"/>
      <c r="J35" s="7"/>
      <c r="K35" s="7"/>
      <c r="L35" s="7"/>
      <c r="M35" s="7"/>
      <c r="N35" s="7"/>
    </row>
    <row r="36">
      <c r="A36" s="2"/>
      <c r="B36" s="92" t="s">
        <v>286</v>
      </c>
      <c r="C36" s="106">
        <v>0.4</v>
      </c>
      <c r="D36" s="94" t="s">
        <v>253</v>
      </c>
      <c r="E36" s="95" t="s">
        <v>287</v>
      </c>
      <c r="F36" s="2"/>
      <c r="G36" s="2"/>
      <c r="H36" s="2"/>
      <c r="I36" s="2"/>
      <c r="J36" s="2"/>
      <c r="K36" s="2"/>
      <c r="L36" s="2"/>
      <c r="M36" s="2"/>
      <c r="N36" s="2"/>
    </row>
    <row r="37">
      <c r="A37" s="7"/>
      <c r="B37" s="96" t="s">
        <v>288</v>
      </c>
      <c r="C37" s="107">
        <v>0.8</v>
      </c>
      <c r="D37" s="98" t="s">
        <v>253</v>
      </c>
      <c r="E37" s="99" t="s">
        <v>289</v>
      </c>
      <c r="F37" s="7"/>
      <c r="G37" s="7"/>
      <c r="H37" s="7"/>
      <c r="I37" s="7"/>
      <c r="J37" s="7"/>
      <c r="K37" s="7"/>
      <c r="L37" s="7"/>
      <c r="M37" s="7"/>
      <c r="N37" s="7"/>
    </row>
    <row r="38">
      <c r="A38" s="2"/>
      <c r="B38" s="92" t="s">
        <v>290</v>
      </c>
      <c r="C38" s="93">
        <v>0.92</v>
      </c>
      <c r="D38" s="94" t="s">
        <v>291</v>
      </c>
      <c r="E38" s="95"/>
      <c r="F38" s="2"/>
      <c r="G38" s="2"/>
      <c r="H38" s="2"/>
      <c r="I38" s="2"/>
      <c r="J38" s="2"/>
      <c r="K38" s="2"/>
      <c r="L38" s="2"/>
      <c r="M38" s="2"/>
      <c r="N38" s="2"/>
    </row>
    <row r="39">
      <c r="A39" s="7"/>
      <c r="B39" s="96" t="s">
        <v>536</v>
      </c>
      <c r="C39" s="97">
        <v>4.5</v>
      </c>
      <c r="D39" s="98" t="s">
        <v>243</v>
      </c>
      <c r="E39" s="99"/>
      <c r="F39" s="7"/>
      <c r="G39" s="7"/>
      <c r="H39" s="7"/>
      <c r="I39" s="7"/>
      <c r="J39" s="7"/>
      <c r="K39" s="7"/>
      <c r="L39" s="7"/>
      <c r="M39" s="7"/>
      <c r="N39" s="7"/>
    </row>
    <row r="40">
      <c r="A40" s="2"/>
      <c r="B40" s="92" t="s">
        <v>537</v>
      </c>
      <c r="C40" s="93">
        <v>2.8</v>
      </c>
      <c r="D40" s="94" t="s">
        <v>243</v>
      </c>
      <c r="E40" s="95"/>
      <c r="F40" s="2"/>
      <c r="G40" s="2"/>
      <c r="H40" s="2"/>
      <c r="I40" s="2"/>
      <c r="J40" s="2"/>
      <c r="K40" s="2"/>
      <c r="L40" s="2"/>
      <c r="M40" s="2"/>
      <c r="N40" s="2"/>
    </row>
    <row r="41">
      <c r="A41" s="7"/>
      <c r="B41" s="96" t="s">
        <v>538</v>
      </c>
      <c r="C41" s="97">
        <v>3.2</v>
      </c>
      <c r="D41" s="98" t="s">
        <v>243</v>
      </c>
      <c r="E41" s="99"/>
      <c r="F41" s="7"/>
      <c r="G41" s="7"/>
      <c r="H41" s="7"/>
      <c r="I41" s="7"/>
      <c r="J41" s="7"/>
      <c r="K41" s="7"/>
      <c r="L41" s="7"/>
      <c r="M41" s="7"/>
      <c r="N41" s="7"/>
    </row>
    <row r="42">
      <c r="A42" s="2"/>
      <c r="B42" s="114" t="s">
        <v>539</v>
      </c>
      <c r="C42" s="93">
        <v>2.5</v>
      </c>
      <c r="D42" s="94" t="s">
        <v>243</v>
      </c>
      <c r="E42" s="95"/>
      <c r="F42" s="2"/>
      <c r="G42" s="2"/>
      <c r="H42" s="2"/>
      <c r="I42" s="2"/>
      <c r="J42" s="2"/>
      <c r="K42" s="2"/>
      <c r="L42" s="2"/>
      <c r="M42" s="2"/>
      <c r="N42" s="2"/>
    </row>
    <row r="43">
      <c r="A43" s="7"/>
      <c r="B43" s="96" t="s">
        <v>540</v>
      </c>
      <c r="C43" s="97">
        <v>3.83</v>
      </c>
      <c r="D43" s="98" t="s">
        <v>243</v>
      </c>
      <c r="E43" s="99" t="s">
        <v>541</v>
      </c>
      <c r="F43" s="7"/>
      <c r="G43" s="7"/>
      <c r="H43" s="7"/>
      <c r="I43" s="7"/>
      <c r="J43" s="7"/>
      <c r="K43" s="7"/>
      <c r="L43" s="7"/>
      <c r="M43" s="7"/>
      <c r="N43" s="7"/>
    </row>
    <row r="44">
      <c r="A44" s="2"/>
      <c r="B44" s="92" t="s">
        <v>296</v>
      </c>
      <c r="C44" s="102">
        <v>300.0</v>
      </c>
      <c r="D44" s="94" t="s">
        <v>297</v>
      </c>
      <c r="E44" s="95"/>
      <c r="F44" s="2"/>
      <c r="G44" s="2"/>
      <c r="H44" s="2"/>
      <c r="I44" s="2"/>
      <c r="J44" s="2"/>
      <c r="K44" s="2"/>
      <c r="L44" s="2"/>
      <c r="M44" s="2"/>
      <c r="N44" s="2"/>
    </row>
    <row r="45">
      <c r="A45" s="7"/>
      <c r="B45" s="96" t="s">
        <v>542</v>
      </c>
      <c r="C45" s="126">
        <v>104625.0</v>
      </c>
      <c r="D45" s="98" t="s">
        <v>299</v>
      </c>
      <c r="E45" s="99" t="s">
        <v>543</v>
      </c>
      <c r="F45" s="7"/>
      <c r="G45" s="7"/>
      <c r="H45" s="7"/>
      <c r="I45" s="7"/>
      <c r="J45" s="7"/>
      <c r="K45" s="7"/>
      <c r="L45" s="7"/>
      <c r="M45" s="7"/>
      <c r="N45" s="7"/>
    </row>
    <row r="46">
      <c r="A46" s="2"/>
      <c r="B46" s="92" t="s">
        <v>301</v>
      </c>
      <c r="C46" s="196" t="s">
        <v>544</v>
      </c>
      <c r="D46" s="94"/>
      <c r="E46" s="95" t="s">
        <v>545</v>
      </c>
      <c r="F46" s="2"/>
      <c r="G46" s="2"/>
      <c r="H46" s="2"/>
      <c r="I46" s="2"/>
      <c r="J46" s="2"/>
      <c r="K46" s="2"/>
      <c r="L46" s="2"/>
      <c r="M46" s="2"/>
      <c r="N46" s="2"/>
    </row>
    <row r="47">
      <c r="A47" s="7"/>
      <c r="B47" s="119" t="s">
        <v>304</v>
      </c>
      <c r="C47" s="60">
        <v>15000.0</v>
      </c>
      <c r="D47" s="60" t="s">
        <v>299</v>
      </c>
      <c r="E47" s="60" t="s">
        <v>305</v>
      </c>
      <c r="F47" s="7"/>
      <c r="G47" s="7"/>
      <c r="H47" s="7"/>
      <c r="I47" s="7"/>
      <c r="J47" s="7"/>
      <c r="K47" s="7"/>
      <c r="L47" s="7"/>
      <c r="M47" s="7"/>
      <c r="N47" s="7"/>
    </row>
    <row r="48">
      <c r="A48" s="2"/>
      <c r="B48" s="118" t="s">
        <v>306</v>
      </c>
      <c r="C48" s="59">
        <v>3000.0</v>
      </c>
      <c r="D48" s="59" t="s">
        <v>299</v>
      </c>
      <c r="E48" s="59" t="s">
        <v>305</v>
      </c>
      <c r="F48" s="2"/>
      <c r="G48" s="2"/>
      <c r="H48" s="2"/>
      <c r="I48" s="2"/>
      <c r="J48" s="2"/>
      <c r="K48" s="2"/>
      <c r="L48" s="2"/>
      <c r="M48" s="2"/>
      <c r="N48" s="2"/>
    </row>
    <row r="49">
      <c r="A49" s="7"/>
      <c r="B49" s="168" t="s">
        <v>546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5"/>
    </row>
    <row r="50">
      <c r="A50" s="2"/>
      <c r="B50" s="197" t="s">
        <v>308</v>
      </c>
      <c r="C50" s="198" t="s">
        <v>309</v>
      </c>
      <c r="D50" s="198" t="s">
        <v>310</v>
      </c>
      <c r="E50" s="198" t="s">
        <v>311</v>
      </c>
      <c r="F50" s="198" t="s">
        <v>312</v>
      </c>
      <c r="G50" s="198" t="s">
        <v>313</v>
      </c>
      <c r="H50" s="198" t="s">
        <v>314</v>
      </c>
      <c r="I50" s="198" t="s">
        <v>315</v>
      </c>
      <c r="J50" s="198" t="s">
        <v>316</v>
      </c>
      <c r="K50" s="198" t="s">
        <v>317</v>
      </c>
      <c r="L50" s="198" t="s">
        <v>318</v>
      </c>
      <c r="M50" s="198" t="s">
        <v>319</v>
      </c>
      <c r="N50" s="198" t="s">
        <v>320</v>
      </c>
    </row>
    <row r="51">
      <c r="A51" s="7"/>
      <c r="B51" s="96" t="s">
        <v>547</v>
      </c>
      <c r="C51" s="98" t="s">
        <v>548</v>
      </c>
      <c r="D51" s="101">
        <v>1.0</v>
      </c>
      <c r="E51" s="126">
        <v>320000.0</v>
      </c>
      <c r="F51" s="20">
        <f t="shared" ref="F51:F55" si="1">D51*E51</f>
        <v>320000</v>
      </c>
      <c r="G51" s="127">
        <v>30.0</v>
      </c>
      <c r="H51" s="107">
        <v>0.75</v>
      </c>
      <c r="I51" s="128">
        <f t="shared" ref="I51:I54" si="2">H51*8</f>
        <v>6</v>
      </c>
      <c r="J51" s="129">
        <f>C10</f>
        <v>25</v>
      </c>
      <c r="K51" s="56">
        <f t="shared" ref="K51:K54" si="3">G51*I51*J51*D51</f>
        <v>4500</v>
      </c>
      <c r="L51" s="56">
        <f>K51*C8</f>
        <v>4950</v>
      </c>
      <c r="M51" s="20">
        <f>L51*C5</f>
        <v>14850</v>
      </c>
      <c r="N51" s="99"/>
    </row>
    <row r="52">
      <c r="A52" s="2"/>
      <c r="B52" s="92" t="s">
        <v>549</v>
      </c>
      <c r="C52" s="94" t="s">
        <v>550</v>
      </c>
      <c r="D52" s="102">
        <v>1.0</v>
      </c>
      <c r="E52" s="116">
        <v>580000.0</v>
      </c>
      <c r="F52" s="26">
        <f t="shared" si="1"/>
        <v>580000</v>
      </c>
      <c r="G52" s="123">
        <v>5.0</v>
      </c>
      <c r="H52" s="106">
        <v>0.7</v>
      </c>
      <c r="I52" s="124">
        <f t="shared" si="2"/>
        <v>5.6</v>
      </c>
      <c r="J52" s="44">
        <f>C10</f>
        <v>25</v>
      </c>
      <c r="K52" s="125">
        <f t="shared" si="3"/>
        <v>700</v>
      </c>
      <c r="L52" s="125">
        <f>K52*C8</f>
        <v>770</v>
      </c>
      <c r="M52" s="26">
        <f>L52*C5</f>
        <v>2310</v>
      </c>
      <c r="N52" s="95"/>
    </row>
    <row r="53">
      <c r="A53" s="7"/>
      <c r="B53" s="96" t="s">
        <v>551</v>
      </c>
      <c r="C53" s="98" t="s">
        <v>328</v>
      </c>
      <c r="D53" s="101">
        <v>2.0</v>
      </c>
      <c r="E53" s="126">
        <v>45000.0</v>
      </c>
      <c r="F53" s="20">
        <f t="shared" si="1"/>
        <v>90000</v>
      </c>
      <c r="G53" s="127">
        <v>2.2</v>
      </c>
      <c r="H53" s="107">
        <v>0.8</v>
      </c>
      <c r="I53" s="128">
        <f t="shared" si="2"/>
        <v>6.4</v>
      </c>
      <c r="J53" s="129">
        <f>C10</f>
        <v>25</v>
      </c>
      <c r="K53" s="56">
        <f t="shared" si="3"/>
        <v>704</v>
      </c>
      <c r="L53" s="56">
        <f>K53*C8</f>
        <v>774.4</v>
      </c>
      <c r="M53" s="20">
        <f>L53*C5</f>
        <v>2323.2</v>
      </c>
      <c r="N53" s="99"/>
    </row>
    <row r="54">
      <c r="A54" s="2"/>
      <c r="B54" s="92" t="s">
        <v>332</v>
      </c>
      <c r="C54" s="94" t="s">
        <v>552</v>
      </c>
      <c r="D54" s="102">
        <v>1.0</v>
      </c>
      <c r="E54" s="116">
        <v>10000.0</v>
      </c>
      <c r="F54" s="26">
        <f t="shared" si="1"/>
        <v>10000</v>
      </c>
      <c r="G54" s="123">
        <v>0.1</v>
      </c>
      <c r="H54" s="106">
        <v>0.4</v>
      </c>
      <c r="I54" s="124">
        <f t="shared" si="2"/>
        <v>3.2</v>
      </c>
      <c r="J54" s="44">
        <f>C10</f>
        <v>25</v>
      </c>
      <c r="K54" s="125">
        <f t="shared" si="3"/>
        <v>8</v>
      </c>
      <c r="L54" s="125">
        <f>K54*C8</f>
        <v>8.8</v>
      </c>
      <c r="M54" s="26">
        <f>L54*C5</f>
        <v>26.4</v>
      </c>
      <c r="N54" s="95"/>
    </row>
    <row r="55">
      <c r="A55" s="7"/>
      <c r="B55" s="96" t="s">
        <v>553</v>
      </c>
      <c r="C55" s="98" t="s">
        <v>337</v>
      </c>
      <c r="D55" s="101">
        <v>1.0</v>
      </c>
      <c r="E55" s="126">
        <v>35000.0</v>
      </c>
      <c r="F55" s="20">
        <f t="shared" si="1"/>
        <v>35000</v>
      </c>
      <c r="G55" s="127">
        <v>0.0</v>
      </c>
      <c r="H55" s="131"/>
      <c r="I55" s="131"/>
      <c r="J55" s="131"/>
      <c r="K55" s="129">
        <v>0.0</v>
      </c>
      <c r="L55" s="56">
        <f>K55*C8</f>
        <v>0</v>
      </c>
      <c r="M55" s="20">
        <f>L55*C5</f>
        <v>0</v>
      </c>
      <c r="N55" s="99"/>
    </row>
    <row r="56" ht="18.75" customHeight="1">
      <c r="A56" s="132"/>
      <c r="B56" s="133" t="s">
        <v>338</v>
      </c>
      <c r="C56" s="134"/>
      <c r="D56" s="134"/>
      <c r="E56" s="134"/>
      <c r="F56" s="135">
        <f>SUM(F51:F55)</f>
        <v>1035000</v>
      </c>
      <c r="G56" s="134"/>
      <c r="H56" s="134"/>
      <c r="I56" s="134"/>
      <c r="J56" s="134"/>
      <c r="K56" s="136">
        <f t="shared" ref="K56:M56" si="4">SUM(K51:K55)</f>
        <v>5912</v>
      </c>
      <c r="L56" s="136">
        <f t="shared" si="4"/>
        <v>6503.2</v>
      </c>
      <c r="M56" s="135">
        <f t="shared" si="4"/>
        <v>19509.6</v>
      </c>
      <c r="N56" s="134"/>
    </row>
    <row r="57">
      <c r="A57" s="7"/>
      <c r="B57" s="13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</row>
    <row r="58" ht="18.75" customHeight="1">
      <c r="A58" s="132"/>
      <c r="B58" s="194" t="s">
        <v>554</v>
      </c>
      <c r="C58" s="4"/>
      <c r="D58" s="4"/>
      <c r="E58" s="4"/>
      <c r="F58" s="5"/>
      <c r="G58" s="181"/>
      <c r="H58" s="181"/>
      <c r="I58" s="181"/>
      <c r="J58" s="181"/>
      <c r="K58" s="181"/>
      <c r="L58" s="181"/>
      <c r="M58" s="181"/>
      <c r="N58" s="181"/>
    </row>
    <row r="59">
      <c r="A59" s="7"/>
      <c r="B59" s="193" t="s">
        <v>340</v>
      </c>
      <c r="C59" s="187" t="s">
        <v>341</v>
      </c>
      <c r="D59" s="187"/>
      <c r="E59" s="187"/>
      <c r="F59" s="187"/>
      <c r="G59" s="16"/>
      <c r="H59" s="16"/>
      <c r="I59" s="16"/>
      <c r="J59" s="16"/>
      <c r="K59" s="16"/>
      <c r="L59" s="16"/>
      <c r="M59" s="16"/>
      <c r="N59" s="16"/>
    </row>
    <row r="60">
      <c r="A60" s="2"/>
      <c r="B60" s="92" t="s">
        <v>342</v>
      </c>
      <c r="C60" s="26">
        <f>F56</f>
        <v>1035000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>
      <c r="A61" s="7"/>
      <c r="B61" s="96" t="s">
        <v>343</v>
      </c>
      <c r="C61" s="126">
        <v>220000.0</v>
      </c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</row>
    <row r="62">
      <c r="A62" s="2"/>
      <c r="B62" s="92" t="s">
        <v>344</v>
      </c>
      <c r="C62" s="116">
        <v>55000.0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>
      <c r="A63" s="7"/>
      <c r="B63" s="96" t="s">
        <v>345</v>
      </c>
      <c r="C63" s="20">
        <f>(C79-C68)*2</f>
        <v>562563.937</v>
      </c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</row>
    <row r="64" ht="18.75" customHeight="1">
      <c r="A64" s="132"/>
      <c r="B64" s="133" t="s">
        <v>346</v>
      </c>
      <c r="C64" s="135">
        <f>SUM(C60:C63)</f>
        <v>1872563.937</v>
      </c>
      <c r="D64" s="132"/>
      <c r="E64" s="132"/>
      <c r="F64" s="132"/>
      <c r="G64" s="132"/>
      <c r="H64" s="132"/>
      <c r="I64" s="132"/>
      <c r="J64" s="132"/>
      <c r="K64" s="132"/>
      <c r="L64" s="132"/>
      <c r="M64" s="132"/>
      <c r="N64" s="132"/>
    </row>
    <row r="65">
      <c r="A65" s="7"/>
      <c r="B65" s="13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</row>
    <row r="66">
      <c r="A66" s="2"/>
      <c r="B66" s="120" t="s">
        <v>555</v>
      </c>
      <c r="C66" s="4"/>
      <c r="D66" s="4"/>
      <c r="E66" s="4"/>
      <c r="F66" s="5"/>
      <c r="G66" s="183"/>
      <c r="H66" s="183"/>
      <c r="I66" s="183"/>
      <c r="J66" s="183"/>
      <c r="K66" s="183"/>
      <c r="L66" s="183"/>
      <c r="M66" s="183"/>
      <c r="N66" s="183"/>
    </row>
    <row r="67">
      <c r="A67" s="7"/>
      <c r="B67" s="193" t="s">
        <v>340</v>
      </c>
      <c r="C67" s="187" t="s">
        <v>299</v>
      </c>
      <c r="D67" s="187"/>
      <c r="E67" s="187"/>
      <c r="F67" s="187"/>
      <c r="G67" s="16"/>
      <c r="H67" s="16"/>
      <c r="I67" s="16"/>
      <c r="J67" s="16"/>
      <c r="K67" s="16"/>
      <c r="L67" s="16"/>
      <c r="M67" s="16"/>
      <c r="N67" s="16"/>
    </row>
    <row r="68">
      <c r="A68" s="2"/>
      <c r="B68" s="114" t="s">
        <v>556</v>
      </c>
      <c r="C68" s="26">
        <f>C34*C36*(1-C11)*C42*1000</f>
        <v>816480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>
      <c r="A69" s="7"/>
      <c r="B69" s="96" t="s">
        <v>352</v>
      </c>
      <c r="C69" s="20">
        <f>C44*C12</f>
        <v>19500</v>
      </c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</row>
    <row r="70">
      <c r="A70" s="2"/>
      <c r="B70" s="92" t="s">
        <v>353</v>
      </c>
      <c r="C70" s="26">
        <f>M56</f>
        <v>19509.6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>
      <c r="A71" s="7"/>
      <c r="B71" s="96" t="s">
        <v>354</v>
      </c>
      <c r="C71" s="20">
        <f>C45</f>
        <v>104625</v>
      </c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</row>
    <row r="72">
      <c r="A72" s="2"/>
      <c r="B72" s="92" t="s">
        <v>355</v>
      </c>
      <c r="C72" s="116">
        <f>$C$47</f>
        <v>15000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>
      <c r="A73" s="7"/>
      <c r="B73" s="143" t="s">
        <v>356</v>
      </c>
      <c r="C73" s="20">
        <f>C60*0.025/12</f>
        <v>2156.25</v>
      </c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</row>
    <row r="74">
      <c r="A74" s="2"/>
      <c r="B74" s="92" t="s">
        <v>357</v>
      </c>
      <c r="C74" s="26">
        <f>E93*0.03</f>
        <v>28505.99485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>
      <c r="A75" s="7"/>
      <c r="B75" s="96" t="s">
        <v>358</v>
      </c>
      <c r="C75" s="126">
        <f>$C$48</f>
        <v>3000</v>
      </c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</row>
    <row r="76">
      <c r="A76" s="2"/>
      <c r="B76" s="92" t="s">
        <v>359</v>
      </c>
      <c r="C76" s="26">
        <f>(C60+C61)*0.005/12</f>
        <v>522.9166667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>
      <c r="A77" s="35"/>
      <c r="B77" s="144" t="s">
        <v>360</v>
      </c>
      <c r="C77" s="34">
        <f>E91*8/100</f>
        <v>84462.20698</v>
      </c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</row>
    <row r="78">
      <c r="A78" s="23"/>
      <c r="B78" s="145" t="s">
        <v>361</v>
      </c>
      <c r="C78" s="146">
        <v>4000.0</v>
      </c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</row>
    <row r="79" ht="18.75" customHeight="1">
      <c r="A79" s="132"/>
      <c r="B79" s="133" t="s">
        <v>362</v>
      </c>
      <c r="C79" s="135">
        <f>SUM(C68:C78)</f>
        <v>1097761.968</v>
      </c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</row>
    <row r="80">
      <c r="A80" s="2"/>
      <c r="B80" s="176" t="s">
        <v>557</v>
      </c>
      <c r="I80" s="2"/>
      <c r="J80" s="2"/>
      <c r="K80" s="2"/>
      <c r="L80" s="2"/>
      <c r="M80" s="2"/>
      <c r="N80" s="2"/>
    </row>
    <row r="81">
      <c r="A81" s="7"/>
      <c r="B81" s="13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</row>
    <row r="82">
      <c r="A82" s="2"/>
      <c r="B82" s="120" t="s">
        <v>558</v>
      </c>
      <c r="C82" s="4"/>
      <c r="D82" s="4"/>
      <c r="E82" s="4"/>
      <c r="F82" s="4"/>
      <c r="G82" s="4"/>
      <c r="H82" s="5"/>
      <c r="I82" s="183"/>
      <c r="J82" s="183"/>
      <c r="K82" s="183"/>
      <c r="L82" s="183"/>
      <c r="M82" s="183"/>
      <c r="N82" s="183"/>
    </row>
    <row r="83">
      <c r="A83" s="7"/>
      <c r="B83" s="193" t="s">
        <v>340</v>
      </c>
      <c r="C83" s="187" t="s">
        <v>235</v>
      </c>
      <c r="D83" s="187" t="s">
        <v>349</v>
      </c>
      <c r="E83" s="187" t="s">
        <v>365</v>
      </c>
      <c r="F83" s="187" t="s">
        <v>350</v>
      </c>
      <c r="G83" s="187"/>
      <c r="H83" s="187"/>
      <c r="I83" s="16"/>
      <c r="J83" s="16"/>
      <c r="K83" s="16"/>
      <c r="L83" s="16"/>
      <c r="M83" s="16"/>
      <c r="N83" s="16"/>
    </row>
    <row r="84">
      <c r="A84" s="2"/>
      <c r="B84" s="92" t="s">
        <v>282</v>
      </c>
      <c r="C84" s="94" t="s">
        <v>283</v>
      </c>
      <c r="D84" s="44">
        <f>$C$34*C35</f>
        <v>272.16</v>
      </c>
      <c r="E84" s="44">
        <f>$C$34*C36</f>
        <v>362.88</v>
      </c>
      <c r="F84" s="44">
        <f>$C$34*C37</f>
        <v>725.76</v>
      </c>
      <c r="G84" s="2"/>
      <c r="H84" s="2"/>
      <c r="I84" s="2"/>
      <c r="J84" s="2"/>
      <c r="K84" s="2"/>
      <c r="L84" s="2"/>
      <c r="M84" s="2"/>
      <c r="N84" s="2"/>
    </row>
    <row r="85">
      <c r="A85" s="7"/>
      <c r="B85" s="96" t="s">
        <v>367</v>
      </c>
      <c r="C85" s="98" t="s">
        <v>283</v>
      </c>
      <c r="D85" s="56">
        <f>D84*C35</f>
        <v>81.648</v>
      </c>
      <c r="E85" s="56">
        <f>E84*C36</f>
        <v>145.152</v>
      </c>
      <c r="F85" s="56">
        <f>F84*C37</f>
        <v>580.608</v>
      </c>
      <c r="G85" s="7"/>
      <c r="H85" s="7"/>
      <c r="I85" s="7"/>
      <c r="J85" s="7"/>
      <c r="K85" s="7"/>
      <c r="L85" s="7"/>
      <c r="M85" s="7"/>
      <c r="N85" s="7"/>
    </row>
    <row r="86">
      <c r="A86" s="2"/>
      <c r="B86" s="92" t="s">
        <v>369</v>
      </c>
      <c r="C86" s="94" t="s">
        <v>243</v>
      </c>
      <c r="D86" s="153">
        <f>C43</f>
        <v>3.83</v>
      </c>
      <c r="E86" s="153">
        <f>C43</f>
        <v>3.83</v>
      </c>
      <c r="F86" s="153">
        <f>C43</f>
        <v>3.83</v>
      </c>
      <c r="G86" s="2"/>
      <c r="H86" s="2"/>
      <c r="I86" s="2"/>
      <c r="J86" s="2"/>
      <c r="K86" s="2"/>
      <c r="L86" s="2"/>
      <c r="M86" s="2"/>
      <c r="N86" s="2"/>
    </row>
    <row r="87">
      <c r="A87" s="7"/>
      <c r="B87" s="163" t="s">
        <v>370</v>
      </c>
      <c r="C87" s="98" t="s">
        <v>299</v>
      </c>
      <c r="D87" s="34">
        <f>D85*1000*C38*D86</f>
        <v>287694.8928</v>
      </c>
      <c r="E87" s="34">
        <f>E85*1000*C38*E86</f>
        <v>511457.5872</v>
      </c>
      <c r="F87" s="34">
        <f>F85*1000*C38*F86</f>
        <v>2045830.349</v>
      </c>
      <c r="G87" s="7"/>
      <c r="H87" s="7"/>
      <c r="I87" s="7"/>
      <c r="J87" s="7"/>
      <c r="K87" s="7"/>
      <c r="L87" s="7"/>
      <c r="M87" s="7"/>
      <c r="N87" s="7"/>
    </row>
    <row r="88">
      <c r="A88" s="2"/>
      <c r="B88" s="92" t="s">
        <v>371</v>
      </c>
      <c r="C88" s="94" t="s">
        <v>283</v>
      </c>
      <c r="D88" s="125">
        <f>D84*(1-C35)</f>
        <v>190.512</v>
      </c>
      <c r="E88" s="125">
        <f>E84*(1-C36)</f>
        <v>217.728</v>
      </c>
      <c r="F88" s="125">
        <f>F84*(1-C37)</f>
        <v>145.152</v>
      </c>
      <c r="G88" s="2"/>
      <c r="H88" s="2"/>
      <c r="I88" s="2"/>
      <c r="J88" s="2"/>
      <c r="K88" s="2"/>
      <c r="L88" s="2"/>
      <c r="M88" s="2"/>
      <c r="N88" s="2"/>
    </row>
    <row r="89">
      <c r="A89" s="7"/>
      <c r="B89" s="96" t="s">
        <v>372</v>
      </c>
      <c r="C89" s="98" t="s">
        <v>243</v>
      </c>
      <c r="D89" s="151">
        <f>C42</f>
        <v>2.5</v>
      </c>
      <c r="E89" s="151">
        <f>C42</f>
        <v>2.5</v>
      </c>
      <c r="F89" s="151">
        <f>C42</f>
        <v>2.5</v>
      </c>
      <c r="G89" s="7"/>
      <c r="H89" s="7"/>
      <c r="I89" s="7"/>
      <c r="J89" s="7"/>
      <c r="K89" s="7"/>
      <c r="L89" s="7"/>
      <c r="M89" s="7"/>
      <c r="N89" s="7"/>
    </row>
    <row r="90">
      <c r="A90" s="2"/>
      <c r="B90" s="92" t="s">
        <v>373</v>
      </c>
      <c r="C90" s="94" t="s">
        <v>299</v>
      </c>
      <c r="D90" s="26">
        <f t="shared" ref="D90:F90" si="5">D88*1000*D89</f>
        <v>476280</v>
      </c>
      <c r="E90" s="26">
        <f t="shared" si="5"/>
        <v>544320</v>
      </c>
      <c r="F90" s="26">
        <f t="shared" si="5"/>
        <v>362880</v>
      </c>
      <c r="G90" s="2"/>
      <c r="H90" s="2"/>
      <c r="I90" s="2"/>
      <c r="J90" s="2"/>
      <c r="K90" s="2"/>
      <c r="L90" s="2"/>
      <c r="M90" s="2"/>
      <c r="N90" s="2"/>
    </row>
    <row r="91" ht="18.75" customHeight="1">
      <c r="A91" s="132"/>
      <c r="B91" s="133" t="s">
        <v>374</v>
      </c>
      <c r="C91" s="154" t="s">
        <v>299</v>
      </c>
      <c r="D91" s="135">
        <f t="shared" ref="D91:F91" si="6">D87+D90</f>
        <v>763974.8928</v>
      </c>
      <c r="E91" s="135">
        <f t="shared" si="6"/>
        <v>1055777.587</v>
      </c>
      <c r="F91" s="135">
        <f t="shared" si="6"/>
        <v>2408710.349</v>
      </c>
      <c r="G91" s="132"/>
      <c r="H91" s="132"/>
      <c r="I91" s="132"/>
      <c r="J91" s="132"/>
      <c r="K91" s="132"/>
      <c r="L91" s="132"/>
      <c r="M91" s="132"/>
      <c r="N91" s="132"/>
    </row>
    <row r="92">
      <c r="A92" s="2"/>
      <c r="B92" s="92" t="s">
        <v>375</v>
      </c>
      <c r="C92" s="94" t="s">
        <v>299</v>
      </c>
      <c r="D92" s="26">
        <f>-D91*C11</f>
        <v>-76397.48928</v>
      </c>
      <c r="E92" s="26">
        <f>-E91*C11</f>
        <v>-105577.7587</v>
      </c>
      <c r="F92" s="26">
        <f>-F91*C11</f>
        <v>-240871.0349</v>
      </c>
      <c r="G92" s="2"/>
      <c r="H92" s="2"/>
      <c r="I92" s="2"/>
      <c r="J92" s="2"/>
      <c r="K92" s="2"/>
      <c r="L92" s="2"/>
      <c r="M92" s="2"/>
      <c r="N92" s="2"/>
    </row>
    <row r="93" ht="18.75" customHeight="1">
      <c r="A93" s="132"/>
      <c r="B93" s="133" t="s">
        <v>376</v>
      </c>
      <c r="C93" s="154" t="s">
        <v>299</v>
      </c>
      <c r="D93" s="135">
        <f t="shared" ref="D93:F93" si="7">D91+D92</f>
        <v>687577.4035</v>
      </c>
      <c r="E93" s="135">
        <f t="shared" si="7"/>
        <v>950199.8285</v>
      </c>
      <c r="F93" s="135">
        <f t="shared" si="7"/>
        <v>2167839.314</v>
      </c>
      <c r="G93" s="132"/>
      <c r="H93" s="132"/>
      <c r="I93" s="132"/>
      <c r="J93" s="132"/>
      <c r="K93" s="132"/>
      <c r="L93" s="132"/>
      <c r="M93" s="132"/>
      <c r="N93" s="132"/>
    </row>
    <row r="94">
      <c r="A94" s="2"/>
      <c r="B94" s="176" t="s">
        <v>377</v>
      </c>
      <c r="I94" s="2"/>
      <c r="J94" s="2"/>
      <c r="K94" s="2"/>
      <c r="L94" s="2"/>
      <c r="M94" s="2"/>
      <c r="N94" s="2"/>
    </row>
    <row r="95">
      <c r="A95" s="7"/>
      <c r="B95" s="13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</row>
    <row r="96">
      <c r="A96" s="2"/>
      <c r="B96" s="120" t="s">
        <v>559</v>
      </c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5"/>
    </row>
    <row r="97">
      <c r="A97" s="7"/>
      <c r="B97" s="168" t="s">
        <v>379</v>
      </c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5"/>
    </row>
    <row r="98">
      <c r="A98" s="2"/>
      <c r="B98" s="197" t="s">
        <v>340</v>
      </c>
      <c r="C98" s="198" t="s">
        <v>380</v>
      </c>
      <c r="D98" s="198" t="s">
        <v>381</v>
      </c>
      <c r="E98" s="198" t="s">
        <v>382</v>
      </c>
      <c r="F98" s="198" t="s">
        <v>383</v>
      </c>
      <c r="G98" s="198" t="s">
        <v>384</v>
      </c>
      <c r="H98" s="198" t="s">
        <v>385</v>
      </c>
      <c r="I98" s="198" t="s">
        <v>386</v>
      </c>
      <c r="J98" s="198" t="s">
        <v>387</v>
      </c>
      <c r="K98" s="198" t="s">
        <v>388</v>
      </c>
      <c r="L98" s="198" t="s">
        <v>389</v>
      </c>
      <c r="M98" s="30"/>
      <c r="N98" s="30"/>
    </row>
    <row r="99">
      <c r="A99" s="7"/>
      <c r="B99" s="96" t="s">
        <v>390</v>
      </c>
      <c r="C99" s="20">
        <f>D91*12*C22</f>
        <v>4583849.357</v>
      </c>
      <c r="D99" s="20">
        <f>D91*12*C23</f>
        <v>6875774.035</v>
      </c>
      <c r="E99" s="20">
        <f>D91*12*C24</f>
        <v>9167698.714</v>
      </c>
      <c r="F99" s="20">
        <f>D91*12*C24</f>
        <v>9167698.714</v>
      </c>
      <c r="G99" s="20">
        <f>D91*12*C24</f>
        <v>9167698.714</v>
      </c>
      <c r="H99" s="20">
        <f>D91*12*C24</f>
        <v>9167698.714</v>
      </c>
      <c r="I99" s="20">
        <f>D91*12*C24</f>
        <v>9167698.714</v>
      </c>
      <c r="J99" s="20">
        <f>D91*12*C24</f>
        <v>9167698.714</v>
      </c>
      <c r="K99" s="20">
        <f>D91*12*C24</f>
        <v>9167698.714</v>
      </c>
      <c r="L99" s="20">
        <f>D91*12*C24</f>
        <v>9167698.714</v>
      </c>
      <c r="M99" s="7"/>
      <c r="N99" s="7"/>
    </row>
    <row r="100">
      <c r="A100" s="2"/>
      <c r="B100" s="92" t="s">
        <v>375</v>
      </c>
      <c r="C100" s="26">
        <f>-C99*C11</f>
        <v>-458384.9357</v>
      </c>
      <c r="D100" s="26">
        <f>-D99*C11</f>
        <v>-687577.4035</v>
      </c>
      <c r="E100" s="26">
        <f>-E99*C11</f>
        <v>-916769.8714</v>
      </c>
      <c r="F100" s="26">
        <f>-F99*C11</f>
        <v>-916769.8714</v>
      </c>
      <c r="G100" s="26">
        <f>-G99*C11</f>
        <v>-916769.8714</v>
      </c>
      <c r="H100" s="26">
        <f>-H99*C11</f>
        <v>-916769.8714</v>
      </c>
      <c r="I100" s="26">
        <f>-I99*C11</f>
        <v>-916769.8714</v>
      </c>
      <c r="J100" s="26">
        <f>-J99*C11</f>
        <v>-916769.8714</v>
      </c>
      <c r="K100" s="26">
        <f>-K99*C11</f>
        <v>-916769.8714</v>
      </c>
      <c r="L100" s="26">
        <f>-L99*C11</f>
        <v>-916769.8714</v>
      </c>
      <c r="M100" s="2"/>
      <c r="N100" s="2"/>
    </row>
    <row r="101">
      <c r="A101" s="7"/>
      <c r="B101" s="163" t="s">
        <v>391</v>
      </c>
      <c r="C101" s="34">
        <f t="shared" ref="C101:L101" si="8">C99+C100</f>
        <v>4125464.421</v>
      </c>
      <c r="D101" s="34">
        <f t="shared" si="8"/>
        <v>6188196.632</v>
      </c>
      <c r="E101" s="34">
        <f t="shared" si="8"/>
        <v>8250928.842</v>
      </c>
      <c r="F101" s="34">
        <f t="shared" si="8"/>
        <v>8250928.842</v>
      </c>
      <c r="G101" s="34">
        <f t="shared" si="8"/>
        <v>8250928.842</v>
      </c>
      <c r="H101" s="34">
        <f t="shared" si="8"/>
        <v>8250928.842</v>
      </c>
      <c r="I101" s="34">
        <f t="shared" si="8"/>
        <v>8250928.842</v>
      </c>
      <c r="J101" s="34">
        <f t="shared" si="8"/>
        <v>8250928.842</v>
      </c>
      <c r="K101" s="34">
        <f t="shared" si="8"/>
        <v>8250928.842</v>
      </c>
      <c r="L101" s="34">
        <f t="shared" si="8"/>
        <v>8250928.842</v>
      </c>
      <c r="M101" s="35"/>
      <c r="N101" s="35"/>
    </row>
    <row r="102">
      <c r="A102" s="2"/>
      <c r="B102" s="92" t="s">
        <v>392</v>
      </c>
      <c r="C102" s="26">
        <f>-C79*12*C22</f>
        <v>-6586571.811</v>
      </c>
      <c r="D102" s="26">
        <f>-C79*12*C23</f>
        <v>-9879857.716</v>
      </c>
      <c r="E102" s="26">
        <f>-C79*12*C24</f>
        <v>-13173143.62</v>
      </c>
      <c r="F102" s="26">
        <f>-C79*12*C24</f>
        <v>-13173143.62</v>
      </c>
      <c r="G102" s="26">
        <f>-C79*12*C24</f>
        <v>-13173143.62</v>
      </c>
      <c r="H102" s="26">
        <f>-C79*12*C24</f>
        <v>-13173143.62</v>
      </c>
      <c r="I102" s="26">
        <f>-C79*12*C24</f>
        <v>-13173143.62</v>
      </c>
      <c r="J102" s="26">
        <f>-C79*12*C24</f>
        <v>-13173143.62</v>
      </c>
      <c r="K102" s="26">
        <f>-C79*12*C24</f>
        <v>-13173143.62</v>
      </c>
      <c r="L102" s="26">
        <f>-C79*12*C24</f>
        <v>-13173143.62</v>
      </c>
      <c r="M102" s="2"/>
      <c r="N102" s="2"/>
    </row>
    <row r="103" ht="18.75" customHeight="1">
      <c r="A103" s="160"/>
      <c r="B103" s="161" t="s">
        <v>393</v>
      </c>
      <c r="C103" s="162">
        <f t="shared" ref="C103:L103" si="9">C101+C102</f>
        <v>-2461107.39</v>
      </c>
      <c r="D103" s="162">
        <f t="shared" si="9"/>
        <v>-3691661.085</v>
      </c>
      <c r="E103" s="162">
        <f t="shared" si="9"/>
        <v>-4922214.78</v>
      </c>
      <c r="F103" s="162">
        <f t="shared" si="9"/>
        <v>-4922214.78</v>
      </c>
      <c r="G103" s="162">
        <f t="shared" si="9"/>
        <v>-4922214.78</v>
      </c>
      <c r="H103" s="162">
        <f t="shared" si="9"/>
        <v>-4922214.78</v>
      </c>
      <c r="I103" s="162">
        <f t="shared" si="9"/>
        <v>-4922214.78</v>
      </c>
      <c r="J103" s="162">
        <f t="shared" si="9"/>
        <v>-4922214.78</v>
      </c>
      <c r="K103" s="162">
        <f t="shared" si="9"/>
        <v>-4922214.78</v>
      </c>
      <c r="L103" s="162">
        <f t="shared" si="9"/>
        <v>-4922214.78</v>
      </c>
      <c r="M103" s="160"/>
      <c r="N103" s="160"/>
    </row>
    <row r="104">
      <c r="A104" s="2"/>
      <c r="B104" s="92" t="s">
        <v>394</v>
      </c>
      <c r="C104" s="36">
        <f t="shared" ref="C104:L104" si="10">IF(C101=0,0,C103/C101)</f>
        <v>-0.5965649291</v>
      </c>
      <c r="D104" s="36">
        <f t="shared" si="10"/>
        <v>-0.5965649291</v>
      </c>
      <c r="E104" s="36">
        <f t="shared" si="10"/>
        <v>-0.5965649291</v>
      </c>
      <c r="F104" s="36">
        <f t="shared" si="10"/>
        <v>-0.5965649291</v>
      </c>
      <c r="G104" s="36">
        <f t="shared" si="10"/>
        <v>-0.5965649291</v>
      </c>
      <c r="H104" s="36">
        <f t="shared" si="10"/>
        <v>-0.5965649291</v>
      </c>
      <c r="I104" s="36">
        <f t="shared" si="10"/>
        <v>-0.5965649291</v>
      </c>
      <c r="J104" s="36">
        <f t="shared" si="10"/>
        <v>-0.5965649291</v>
      </c>
      <c r="K104" s="36">
        <f t="shared" si="10"/>
        <v>-0.5965649291</v>
      </c>
      <c r="L104" s="36">
        <f t="shared" si="10"/>
        <v>-0.5965649291</v>
      </c>
      <c r="M104" s="2"/>
      <c r="N104" s="2"/>
    </row>
    <row r="105">
      <c r="A105" s="7"/>
      <c r="B105" s="96" t="s">
        <v>395</v>
      </c>
      <c r="C105" s="20">
        <f>-(C60/C18+C61/20)</f>
        <v>-114500</v>
      </c>
      <c r="D105" s="20">
        <f>-(C60/C18+C61/20)</f>
        <v>-114500</v>
      </c>
      <c r="E105" s="20">
        <f>-(C60/C18+C61/20)</f>
        <v>-114500</v>
      </c>
      <c r="F105" s="20">
        <f>-(C60/C18+C61/20)</f>
        <v>-114500</v>
      </c>
      <c r="G105" s="20">
        <f>-(C60/C18+C61/20)</f>
        <v>-114500</v>
      </c>
      <c r="H105" s="20">
        <f>-(C60/C18+C61/20)</f>
        <v>-114500</v>
      </c>
      <c r="I105" s="20">
        <f>-(C60/C18+C61/20)</f>
        <v>-114500</v>
      </c>
      <c r="J105" s="20">
        <f>-(C60/C18+C61/20)</f>
        <v>-114500</v>
      </c>
      <c r="K105" s="20">
        <f>-(C60/C18+C61/20)</f>
        <v>-114500</v>
      </c>
      <c r="L105" s="20">
        <f>-(C60/C18+C61/20)</f>
        <v>-114500</v>
      </c>
      <c r="M105" s="7"/>
      <c r="N105" s="7"/>
    </row>
    <row r="106">
      <c r="A106" s="2"/>
      <c r="B106" s="152" t="s">
        <v>396</v>
      </c>
      <c r="C106" s="22">
        <f t="shared" ref="C106:L106" si="11">C103+C105</f>
        <v>-2575607.39</v>
      </c>
      <c r="D106" s="22">
        <f t="shared" si="11"/>
        <v>-3806161.085</v>
      </c>
      <c r="E106" s="22">
        <f t="shared" si="11"/>
        <v>-5036714.78</v>
      </c>
      <c r="F106" s="22">
        <f t="shared" si="11"/>
        <v>-5036714.78</v>
      </c>
      <c r="G106" s="22">
        <f t="shared" si="11"/>
        <v>-5036714.78</v>
      </c>
      <c r="H106" s="22">
        <f t="shared" si="11"/>
        <v>-5036714.78</v>
      </c>
      <c r="I106" s="22">
        <f t="shared" si="11"/>
        <v>-5036714.78</v>
      </c>
      <c r="J106" s="22">
        <f t="shared" si="11"/>
        <v>-5036714.78</v>
      </c>
      <c r="K106" s="22">
        <f t="shared" si="11"/>
        <v>-5036714.78</v>
      </c>
      <c r="L106" s="22">
        <f t="shared" si="11"/>
        <v>-5036714.78</v>
      </c>
      <c r="M106" s="23"/>
      <c r="N106" s="23"/>
    </row>
    <row r="107">
      <c r="A107" s="7"/>
      <c r="B107" s="96" t="s">
        <v>397</v>
      </c>
      <c r="C107" s="20">
        <f t="shared" ref="C107:L107" si="12">-D167</f>
        <v>-151677.6789</v>
      </c>
      <c r="D107" s="20">
        <f t="shared" si="12"/>
        <v>-126398.0657</v>
      </c>
      <c r="E107" s="20">
        <f t="shared" si="12"/>
        <v>-101118.4526</v>
      </c>
      <c r="F107" s="20">
        <f t="shared" si="12"/>
        <v>-75838.83945</v>
      </c>
      <c r="G107" s="20">
        <f t="shared" si="12"/>
        <v>-50559.2263</v>
      </c>
      <c r="H107" s="20">
        <f t="shared" si="12"/>
        <v>-25279.61315</v>
      </c>
      <c r="I107" s="20">
        <f t="shared" si="12"/>
        <v>0</v>
      </c>
      <c r="J107" s="20">
        <f t="shared" si="12"/>
        <v>0</v>
      </c>
      <c r="K107" s="20">
        <f t="shared" si="12"/>
        <v>0</v>
      </c>
      <c r="L107" s="20">
        <f t="shared" si="12"/>
        <v>0</v>
      </c>
      <c r="M107" s="7"/>
      <c r="N107" s="7"/>
    </row>
    <row r="108">
      <c r="A108" s="2"/>
      <c r="B108" s="92" t="s">
        <v>398</v>
      </c>
      <c r="C108" s="26">
        <f t="shared" ref="C108:L108" si="13">C106+C107</f>
        <v>-2727285.069</v>
      </c>
      <c r="D108" s="26">
        <f t="shared" si="13"/>
        <v>-3932559.151</v>
      </c>
      <c r="E108" s="26">
        <f t="shared" si="13"/>
        <v>-5137833.232</v>
      </c>
      <c r="F108" s="26">
        <f t="shared" si="13"/>
        <v>-5112553.619</v>
      </c>
      <c r="G108" s="26">
        <f t="shared" si="13"/>
        <v>-5087274.006</v>
      </c>
      <c r="H108" s="26">
        <f t="shared" si="13"/>
        <v>-5061994.393</v>
      </c>
      <c r="I108" s="26">
        <f t="shared" si="13"/>
        <v>-5036714.78</v>
      </c>
      <c r="J108" s="26">
        <f t="shared" si="13"/>
        <v>-5036714.78</v>
      </c>
      <c r="K108" s="26">
        <f t="shared" si="13"/>
        <v>-5036714.78</v>
      </c>
      <c r="L108" s="26">
        <f t="shared" si="13"/>
        <v>-5036714.78</v>
      </c>
      <c r="M108" s="2"/>
      <c r="N108" s="2"/>
    </row>
    <row r="109">
      <c r="A109" s="7"/>
      <c r="B109" s="96" t="s">
        <v>399</v>
      </c>
      <c r="C109" s="20">
        <f>-MAX(0,C108)*C15</f>
        <v>0</v>
      </c>
      <c r="D109" s="20">
        <f>-MAX(0,D108)*C15</f>
        <v>0</v>
      </c>
      <c r="E109" s="20">
        <f>-MAX(0,E108)*C15</f>
        <v>0</v>
      </c>
      <c r="F109" s="20">
        <f>-MAX(0,F108)*C15</f>
        <v>0</v>
      </c>
      <c r="G109" s="20">
        <f>-MAX(0,G108)*C15</f>
        <v>0</v>
      </c>
      <c r="H109" s="20">
        <f>-MAX(0,H108)*C15</f>
        <v>0</v>
      </c>
      <c r="I109" s="20">
        <f>-MAX(0,I108)*C15</f>
        <v>0</v>
      </c>
      <c r="J109" s="20">
        <f>-MAX(0,J108)*C15</f>
        <v>0</v>
      </c>
      <c r="K109" s="20">
        <f>-MAX(0,K108)*C15</f>
        <v>0</v>
      </c>
      <c r="L109" s="20">
        <f>-MAX(0,L108)*C15</f>
        <v>0</v>
      </c>
      <c r="M109" s="7"/>
      <c r="N109" s="7"/>
    </row>
    <row r="110">
      <c r="A110" s="2"/>
      <c r="B110" s="92" t="s">
        <v>400</v>
      </c>
      <c r="C110" s="26">
        <f>-MAX(0,C108)*C16</f>
        <v>0</v>
      </c>
      <c r="D110" s="26">
        <f>-MAX(0,D108)*C16</f>
        <v>0</v>
      </c>
      <c r="E110" s="26">
        <f>-MAX(0,E108)*C16</f>
        <v>0</v>
      </c>
      <c r="F110" s="26">
        <f>-MAX(0,F108)*C16</f>
        <v>0</v>
      </c>
      <c r="G110" s="26">
        <f>-MAX(0,G108)*C16</f>
        <v>0</v>
      </c>
      <c r="H110" s="26">
        <f>-MAX(0,H108)*C16</f>
        <v>0</v>
      </c>
      <c r="I110" s="26">
        <f>-MAX(0,I108)*C16</f>
        <v>0</v>
      </c>
      <c r="J110" s="26">
        <f>-MAX(0,J108)*C16</f>
        <v>0</v>
      </c>
      <c r="K110" s="26">
        <f>-MAX(0,K108)*C16</f>
        <v>0</v>
      </c>
      <c r="L110" s="26">
        <f>-MAX(0,L108)*C16</f>
        <v>0</v>
      </c>
      <c r="M110" s="2"/>
      <c r="N110" s="2"/>
    </row>
    <row r="111" ht="18.75" customHeight="1">
      <c r="A111" s="160"/>
      <c r="B111" s="161" t="s">
        <v>401</v>
      </c>
      <c r="C111" s="162">
        <f t="shared" ref="C111:L111" si="14">C108+C109+C110</f>
        <v>-2727285.069</v>
      </c>
      <c r="D111" s="162">
        <f t="shared" si="14"/>
        <v>-3932559.151</v>
      </c>
      <c r="E111" s="162">
        <f t="shared" si="14"/>
        <v>-5137833.232</v>
      </c>
      <c r="F111" s="162">
        <f t="shared" si="14"/>
        <v>-5112553.619</v>
      </c>
      <c r="G111" s="162">
        <f t="shared" si="14"/>
        <v>-5087274.006</v>
      </c>
      <c r="H111" s="162">
        <f t="shared" si="14"/>
        <v>-5061994.393</v>
      </c>
      <c r="I111" s="162">
        <f t="shared" si="14"/>
        <v>-5036714.78</v>
      </c>
      <c r="J111" s="162">
        <f t="shared" si="14"/>
        <v>-5036714.78</v>
      </c>
      <c r="K111" s="162">
        <f t="shared" si="14"/>
        <v>-5036714.78</v>
      </c>
      <c r="L111" s="162">
        <f t="shared" si="14"/>
        <v>-5036714.78</v>
      </c>
      <c r="M111" s="160"/>
      <c r="N111" s="160"/>
    </row>
    <row r="112">
      <c r="A112" s="2"/>
      <c r="B112" s="92" t="s">
        <v>402</v>
      </c>
      <c r="C112" s="26">
        <f>-MAX(0,C111)*C17</f>
        <v>0</v>
      </c>
      <c r="D112" s="26">
        <f>-MAX(0,D111)*C17</f>
        <v>0</v>
      </c>
      <c r="E112" s="26">
        <f>-MAX(0,E111)*C17</f>
        <v>0</v>
      </c>
      <c r="F112" s="26">
        <f>-MAX(0,F111)*C17</f>
        <v>0</v>
      </c>
      <c r="G112" s="26">
        <f>-MAX(0,G111)*C17</f>
        <v>0</v>
      </c>
      <c r="H112" s="26">
        <f>-MAX(0,H111)*C17</f>
        <v>0</v>
      </c>
      <c r="I112" s="26">
        <f>-MAX(0,I111)*C17</f>
        <v>0</v>
      </c>
      <c r="J112" s="26">
        <f>-MAX(0,J111)*C17</f>
        <v>0</v>
      </c>
      <c r="K112" s="26">
        <f>-MAX(0,K111)*C17</f>
        <v>0</v>
      </c>
      <c r="L112" s="26">
        <f>-MAX(0,L111)*C17</f>
        <v>0</v>
      </c>
      <c r="M112" s="2"/>
      <c r="N112" s="2"/>
    </row>
    <row r="113" ht="18.75" customHeight="1">
      <c r="A113" s="160"/>
      <c r="B113" s="161" t="s">
        <v>403</v>
      </c>
      <c r="C113" s="162">
        <f t="shared" ref="C113:L113" si="15">C111+C112</f>
        <v>-2727285.069</v>
      </c>
      <c r="D113" s="162">
        <f t="shared" si="15"/>
        <v>-3932559.151</v>
      </c>
      <c r="E113" s="162">
        <f t="shared" si="15"/>
        <v>-5137833.232</v>
      </c>
      <c r="F113" s="162">
        <f t="shared" si="15"/>
        <v>-5112553.619</v>
      </c>
      <c r="G113" s="162">
        <f t="shared" si="15"/>
        <v>-5087274.006</v>
      </c>
      <c r="H113" s="162">
        <f t="shared" si="15"/>
        <v>-5061994.393</v>
      </c>
      <c r="I113" s="162">
        <f t="shared" si="15"/>
        <v>-5036714.78</v>
      </c>
      <c r="J113" s="162">
        <f t="shared" si="15"/>
        <v>-5036714.78</v>
      </c>
      <c r="K113" s="162">
        <f t="shared" si="15"/>
        <v>-5036714.78</v>
      </c>
      <c r="L113" s="162">
        <f t="shared" si="15"/>
        <v>-5036714.78</v>
      </c>
      <c r="M113" s="160"/>
      <c r="N113" s="160"/>
    </row>
    <row r="114">
      <c r="A114" s="2"/>
      <c r="B114" s="11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>
      <c r="A115" s="7"/>
      <c r="B115" s="168" t="s">
        <v>404</v>
      </c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5"/>
    </row>
    <row r="116">
      <c r="A116" s="2"/>
      <c r="B116" s="197" t="s">
        <v>340</v>
      </c>
      <c r="C116" s="198" t="s">
        <v>380</v>
      </c>
      <c r="D116" s="198" t="s">
        <v>381</v>
      </c>
      <c r="E116" s="198" t="s">
        <v>382</v>
      </c>
      <c r="F116" s="198" t="s">
        <v>383</v>
      </c>
      <c r="G116" s="198" t="s">
        <v>384</v>
      </c>
      <c r="H116" s="198" t="s">
        <v>385</v>
      </c>
      <c r="I116" s="198" t="s">
        <v>386</v>
      </c>
      <c r="J116" s="198" t="s">
        <v>387</v>
      </c>
      <c r="K116" s="198" t="s">
        <v>388</v>
      </c>
      <c r="L116" s="198" t="s">
        <v>389</v>
      </c>
      <c r="M116" s="30"/>
      <c r="N116" s="30"/>
    </row>
    <row r="117">
      <c r="A117" s="7"/>
      <c r="B117" s="96" t="s">
        <v>390</v>
      </c>
      <c r="C117" s="20">
        <f>E91*12*C22</f>
        <v>6334665.523</v>
      </c>
      <c r="D117" s="20">
        <f>E91*12*C23</f>
        <v>9501998.285</v>
      </c>
      <c r="E117" s="20">
        <f>E91*12*C24</f>
        <v>12669331.05</v>
      </c>
      <c r="F117" s="20">
        <f>E91*12*C24</f>
        <v>12669331.05</v>
      </c>
      <c r="G117" s="20">
        <f>E91*12*C24</f>
        <v>12669331.05</v>
      </c>
      <c r="H117" s="20">
        <f>E91*12*C24</f>
        <v>12669331.05</v>
      </c>
      <c r="I117" s="20">
        <f>E91*12*C24</f>
        <v>12669331.05</v>
      </c>
      <c r="J117" s="20">
        <f>E91*12*C24</f>
        <v>12669331.05</v>
      </c>
      <c r="K117" s="20">
        <f>E91*12*C24</f>
        <v>12669331.05</v>
      </c>
      <c r="L117" s="20">
        <f>E91*12*C24</f>
        <v>12669331.05</v>
      </c>
      <c r="M117" s="7"/>
      <c r="N117" s="7"/>
    </row>
    <row r="118">
      <c r="A118" s="2"/>
      <c r="B118" s="92" t="s">
        <v>375</v>
      </c>
      <c r="C118" s="26">
        <f>-C117*C11</f>
        <v>-633466.5523</v>
      </c>
      <c r="D118" s="26">
        <f>-D117*C11</f>
        <v>-950199.8285</v>
      </c>
      <c r="E118" s="26">
        <f>-E117*C11</f>
        <v>-1266933.105</v>
      </c>
      <c r="F118" s="26">
        <f>-F117*C11</f>
        <v>-1266933.105</v>
      </c>
      <c r="G118" s="26">
        <f>-G117*C11</f>
        <v>-1266933.105</v>
      </c>
      <c r="H118" s="26">
        <f>-H117*C11</f>
        <v>-1266933.105</v>
      </c>
      <c r="I118" s="26">
        <f>-I117*C11</f>
        <v>-1266933.105</v>
      </c>
      <c r="J118" s="26">
        <f>-J117*C11</f>
        <v>-1266933.105</v>
      </c>
      <c r="K118" s="26">
        <f>-K117*C11</f>
        <v>-1266933.105</v>
      </c>
      <c r="L118" s="26">
        <f>-L117*C11</f>
        <v>-1266933.105</v>
      </c>
      <c r="M118" s="2"/>
      <c r="N118" s="2"/>
    </row>
    <row r="119">
      <c r="A119" s="7"/>
      <c r="B119" s="163" t="s">
        <v>391</v>
      </c>
      <c r="C119" s="34">
        <f t="shared" ref="C119:L119" si="16">C117+C118</f>
        <v>5701198.971</v>
      </c>
      <c r="D119" s="34">
        <f t="shared" si="16"/>
        <v>8551798.456</v>
      </c>
      <c r="E119" s="34">
        <f t="shared" si="16"/>
        <v>11402397.94</v>
      </c>
      <c r="F119" s="34">
        <f t="shared" si="16"/>
        <v>11402397.94</v>
      </c>
      <c r="G119" s="34">
        <f t="shared" si="16"/>
        <v>11402397.94</v>
      </c>
      <c r="H119" s="34">
        <f t="shared" si="16"/>
        <v>11402397.94</v>
      </c>
      <c r="I119" s="34">
        <f t="shared" si="16"/>
        <v>11402397.94</v>
      </c>
      <c r="J119" s="34">
        <f t="shared" si="16"/>
        <v>11402397.94</v>
      </c>
      <c r="K119" s="34">
        <f t="shared" si="16"/>
        <v>11402397.94</v>
      </c>
      <c r="L119" s="34">
        <f t="shared" si="16"/>
        <v>11402397.94</v>
      </c>
      <c r="M119" s="35"/>
      <c r="N119" s="35"/>
    </row>
    <row r="120">
      <c r="A120" s="2"/>
      <c r="B120" s="92" t="s">
        <v>392</v>
      </c>
      <c r="C120" s="26">
        <f>-C79*12*C22</f>
        <v>-6586571.811</v>
      </c>
      <c r="D120" s="26">
        <f>-C79*12*C23</f>
        <v>-9879857.716</v>
      </c>
      <c r="E120" s="26">
        <f>-C79*12*C24</f>
        <v>-13173143.62</v>
      </c>
      <c r="F120" s="26">
        <f>-C79*12*C24</f>
        <v>-13173143.62</v>
      </c>
      <c r="G120" s="26">
        <f>-C79*12*C24</f>
        <v>-13173143.62</v>
      </c>
      <c r="H120" s="26">
        <f>-C79*12*C24</f>
        <v>-13173143.62</v>
      </c>
      <c r="I120" s="26">
        <f>-C79*12*C24</f>
        <v>-13173143.62</v>
      </c>
      <c r="J120" s="26">
        <f>-C79*12*C24</f>
        <v>-13173143.62</v>
      </c>
      <c r="K120" s="26">
        <f>-C79*12*C24</f>
        <v>-13173143.62</v>
      </c>
      <c r="L120" s="26">
        <f>-C79*12*C24</f>
        <v>-13173143.62</v>
      </c>
      <c r="M120" s="2"/>
      <c r="N120" s="2"/>
    </row>
    <row r="121" ht="18.75" customHeight="1">
      <c r="A121" s="160"/>
      <c r="B121" s="161" t="s">
        <v>393</v>
      </c>
      <c r="C121" s="162">
        <f t="shared" ref="C121:L121" si="17">C119+C120</f>
        <v>-885372.8401</v>
      </c>
      <c r="D121" s="162">
        <f t="shared" si="17"/>
        <v>-1328059.26</v>
      </c>
      <c r="E121" s="162">
        <f t="shared" si="17"/>
        <v>-1770745.68</v>
      </c>
      <c r="F121" s="162">
        <f t="shared" si="17"/>
        <v>-1770745.68</v>
      </c>
      <c r="G121" s="162">
        <f t="shared" si="17"/>
        <v>-1770745.68</v>
      </c>
      <c r="H121" s="162">
        <f t="shared" si="17"/>
        <v>-1770745.68</v>
      </c>
      <c r="I121" s="162">
        <f t="shared" si="17"/>
        <v>-1770745.68</v>
      </c>
      <c r="J121" s="162">
        <f t="shared" si="17"/>
        <v>-1770745.68</v>
      </c>
      <c r="K121" s="162">
        <f t="shared" si="17"/>
        <v>-1770745.68</v>
      </c>
      <c r="L121" s="162">
        <f t="shared" si="17"/>
        <v>-1770745.68</v>
      </c>
      <c r="M121" s="160"/>
      <c r="N121" s="160"/>
    </row>
    <row r="122">
      <c r="A122" s="2"/>
      <c r="B122" s="92" t="s">
        <v>394</v>
      </c>
      <c r="C122" s="36">
        <f t="shared" ref="C122:L122" si="18">IF(C119=0,0,C121/C119)</f>
        <v>-0.1552959026</v>
      </c>
      <c r="D122" s="36">
        <f t="shared" si="18"/>
        <v>-0.1552959026</v>
      </c>
      <c r="E122" s="36">
        <f t="shared" si="18"/>
        <v>-0.1552959026</v>
      </c>
      <c r="F122" s="36">
        <f t="shared" si="18"/>
        <v>-0.1552959026</v>
      </c>
      <c r="G122" s="36">
        <f t="shared" si="18"/>
        <v>-0.1552959026</v>
      </c>
      <c r="H122" s="36">
        <f t="shared" si="18"/>
        <v>-0.1552959026</v>
      </c>
      <c r="I122" s="36">
        <f t="shared" si="18"/>
        <v>-0.1552959026</v>
      </c>
      <c r="J122" s="36">
        <f t="shared" si="18"/>
        <v>-0.1552959026</v>
      </c>
      <c r="K122" s="36">
        <f t="shared" si="18"/>
        <v>-0.1552959026</v>
      </c>
      <c r="L122" s="36">
        <f t="shared" si="18"/>
        <v>-0.1552959026</v>
      </c>
      <c r="M122" s="2"/>
      <c r="N122" s="2"/>
    </row>
    <row r="123">
      <c r="A123" s="7"/>
      <c r="B123" s="96" t="s">
        <v>395</v>
      </c>
      <c r="C123" s="20">
        <f>-(C60/C18+C61/20)</f>
        <v>-114500</v>
      </c>
      <c r="D123" s="20">
        <f>-(C60/C18+C61/20)</f>
        <v>-114500</v>
      </c>
      <c r="E123" s="20">
        <f>-(C60/C18+C61/20)</f>
        <v>-114500</v>
      </c>
      <c r="F123" s="20">
        <f>-(C60/C18+C61/20)</f>
        <v>-114500</v>
      </c>
      <c r="G123" s="20">
        <f>-(C60/C18+C61/20)</f>
        <v>-114500</v>
      </c>
      <c r="H123" s="20">
        <f>-(C60/C18+C61/20)</f>
        <v>-114500</v>
      </c>
      <c r="I123" s="20">
        <f>-(C60/C18+C61/20)</f>
        <v>-114500</v>
      </c>
      <c r="J123" s="20">
        <f>-(C60/C18+C61/20)</f>
        <v>-114500</v>
      </c>
      <c r="K123" s="20">
        <f>-(C60/C18+C61/20)</f>
        <v>-114500</v>
      </c>
      <c r="L123" s="20">
        <f>-(C60/C18+C61/20)</f>
        <v>-114500</v>
      </c>
      <c r="M123" s="7"/>
      <c r="N123" s="7"/>
    </row>
    <row r="124">
      <c r="A124" s="2"/>
      <c r="B124" s="152" t="s">
        <v>396</v>
      </c>
      <c r="C124" s="22">
        <f t="shared" ref="C124:L124" si="19">C121+C123</f>
        <v>-999872.8401</v>
      </c>
      <c r="D124" s="22">
        <f t="shared" si="19"/>
        <v>-1442559.26</v>
      </c>
      <c r="E124" s="22">
        <f t="shared" si="19"/>
        <v>-1885245.68</v>
      </c>
      <c r="F124" s="22">
        <f t="shared" si="19"/>
        <v>-1885245.68</v>
      </c>
      <c r="G124" s="22">
        <f t="shared" si="19"/>
        <v>-1885245.68</v>
      </c>
      <c r="H124" s="22">
        <f t="shared" si="19"/>
        <v>-1885245.68</v>
      </c>
      <c r="I124" s="22">
        <f t="shared" si="19"/>
        <v>-1885245.68</v>
      </c>
      <c r="J124" s="22">
        <f t="shared" si="19"/>
        <v>-1885245.68</v>
      </c>
      <c r="K124" s="22">
        <f t="shared" si="19"/>
        <v>-1885245.68</v>
      </c>
      <c r="L124" s="22">
        <f t="shared" si="19"/>
        <v>-1885245.68</v>
      </c>
      <c r="M124" s="23"/>
      <c r="N124" s="23"/>
    </row>
    <row r="125">
      <c r="A125" s="7"/>
      <c r="B125" s="96" t="s">
        <v>397</v>
      </c>
      <c r="C125" s="20">
        <f t="shared" ref="C125:L125" si="20">-D181</f>
        <v>-151677.6789</v>
      </c>
      <c r="D125" s="20">
        <f t="shared" si="20"/>
        <v>-126398.0657</v>
      </c>
      <c r="E125" s="20">
        <f t="shared" si="20"/>
        <v>-101118.4526</v>
      </c>
      <c r="F125" s="20">
        <f t="shared" si="20"/>
        <v>-75838.83945</v>
      </c>
      <c r="G125" s="20">
        <f t="shared" si="20"/>
        <v>-50559.2263</v>
      </c>
      <c r="H125" s="20">
        <f t="shared" si="20"/>
        <v>-25279.61315</v>
      </c>
      <c r="I125" s="20">
        <f t="shared" si="20"/>
        <v>0</v>
      </c>
      <c r="J125" s="20">
        <f t="shared" si="20"/>
        <v>0</v>
      </c>
      <c r="K125" s="20">
        <f t="shared" si="20"/>
        <v>0</v>
      </c>
      <c r="L125" s="20">
        <f t="shared" si="20"/>
        <v>0</v>
      </c>
      <c r="M125" s="7"/>
      <c r="N125" s="7"/>
    </row>
    <row r="126">
      <c r="A126" s="2"/>
      <c r="B126" s="92" t="s">
        <v>398</v>
      </c>
      <c r="C126" s="26">
        <f t="shared" ref="C126:L126" si="21">C124+C125</f>
        <v>-1151550.519</v>
      </c>
      <c r="D126" s="26">
        <f t="shared" si="21"/>
        <v>-1568957.326</v>
      </c>
      <c r="E126" s="26">
        <f t="shared" si="21"/>
        <v>-1986364.133</v>
      </c>
      <c r="F126" s="26">
        <f t="shared" si="21"/>
        <v>-1961084.52</v>
      </c>
      <c r="G126" s="26">
        <f t="shared" si="21"/>
        <v>-1935804.907</v>
      </c>
      <c r="H126" s="26">
        <f t="shared" si="21"/>
        <v>-1910525.293</v>
      </c>
      <c r="I126" s="26">
        <f t="shared" si="21"/>
        <v>-1885245.68</v>
      </c>
      <c r="J126" s="26">
        <f t="shared" si="21"/>
        <v>-1885245.68</v>
      </c>
      <c r="K126" s="26">
        <f t="shared" si="21"/>
        <v>-1885245.68</v>
      </c>
      <c r="L126" s="26">
        <f t="shared" si="21"/>
        <v>-1885245.68</v>
      </c>
      <c r="M126" s="2"/>
      <c r="N126" s="2"/>
    </row>
    <row r="127">
      <c r="A127" s="7"/>
      <c r="B127" s="96" t="s">
        <v>399</v>
      </c>
      <c r="C127" s="20">
        <f>-MAX(0,C126)*C15</f>
        <v>0</v>
      </c>
      <c r="D127" s="20">
        <f>-MAX(0,D126)*C15</f>
        <v>0</v>
      </c>
      <c r="E127" s="20">
        <f>-MAX(0,E126)*C15</f>
        <v>0</v>
      </c>
      <c r="F127" s="20">
        <f>-MAX(0,F126)*C15</f>
        <v>0</v>
      </c>
      <c r="G127" s="20">
        <f>-MAX(0,G126)*C15</f>
        <v>0</v>
      </c>
      <c r="H127" s="20">
        <f>-MAX(0,H126)*C15</f>
        <v>0</v>
      </c>
      <c r="I127" s="20">
        <f>-MAX(0,I126)*C15</f>
        <v>0</v>
      </c>
      <c r="J127" s="20">
        <f>-MAX(0,J126)*C15</f>
        <v>0</v>
      </c>
      <c r="K127" s="20">
        <f>-MAX(0,K126)*C15</f>
        <v>0</v>
      </c>
      <c r="L127" s="20">
        <f>-MAX(0,L126)*C15</f>
        <v>0</v>
      </c>
      <c r="M127" s="7"/>
      <c r="N127" s="7"/>
    </row>
    <row r="128">
      <c r="A128" s="2"/>
      <c r="B128" s="92" t="s">
        <v>400</v>
      </c>
      <c r="C128" s="26">
        <f>-MAX(0,C126)*C16</f>
        <v>0</v>
      </c>
      <c r="D128" s="26">
        <f>-MAX(0,D126)*C16</f>
        <v>0</v>
      </c>
      <c r="E128" s="26">
        <f>-MAX(0,E126)*C16</f>
        <v>0</v>
      </c>
      <c r="F128" s="26">
        <f>-MAX(0,F126)*C16</f>
        <v>0</v>
      </c>
      <c r="G128" s="26">
        <f>-MAX(0,G126)*C16</f>
        <v>0</v>
      </c>
      <c r="H128" s="26">
        <f>-MAX(0,H126)*C16</f>
        <v>0</v>
      </c>
      <c r="I128" s="26">
        <f>-MAX(0,I126)*C16</f>
        <v>0</v>
      </c>
      <c r="J128" s="26">
        <f>-MAX(0,J126)*C16</f>
        <v>0</v>
      </c>
      <c r="K128" s="26">
        <f>-MAX(0,K126)*C16</f>
        <v>0</v>
      </c>
      <c r="L128" s="26">
        <f>-MAX(0,L126)*C16</f>
        <v>0</v>
      </c>
      <c r="M128" s="2"/>
      <c r="N128" s="2"/>
    </row>
    <row r="129" ht="18.75" customHeight="1">
      <c r="A129" s="160"/>
      <c r="B129" s="161" t="s">
        <v>401</v>
      </c>
      <c r="C129" s="162">
        <f t="shared" ref="C129:L129" si="22">C126+C127+C128</f>
        <v>-1151550.519</v>
      </c>
      <c r="D129" s="162">
        <f t="shared" si="22"/>
        <v>-1568957.326</v>
      </c>
      <c r="E129" s="162">
        <f t="shared" si="22"/>
        <v>-1986364.133</v>
      </c>
      <c r="F129" s="162">
        <f t="shared" si="22"/>
        <v>-1961084.52</v>
      </c>
      <c r="G129" s="162">
        <f t="shared" si="22"/>
        <v>-1935804.907</v>
      </c>
      <c r="H129" s="162">
        <f t="shared" si="22"/>
        <v>-1910525.293</v>
      </c>
      <c r="I129" s="162">
        <f t="shared" si="22"/>
        <v>-1885245.68</v>
      </c>
      <c r="J129" s="162">
        <f t="shared" si="22"/>
        <v>-1885245.68</v>
      </c>
      <c r="K129" s="162">
        <f t="shared" si="22"/>
        <v>-1885245.68</v>
      </c>
      <c r="L129" s="162">
        <f t="shared" si="22"/>
        <v>-1885245.68</v>
      </c>
      <c r="M129" s="160"/>
      <c r="N129" s="160"/>
    </row>
    <row r="130">
      <c r="A130" s="2"/>
      <c r="B130" s="92" t="s">
        <v>402</v>
      </c>
      <c r="C130" s="26">
        <f>-MAX(0,C129)*C17</f>
        <v>0</v>
      </c>
      <c r="D130" s="26">
        <f>-MAX(0,D129)*C17</f>
        <v>0</v>
      </c>
      <c r="E130" s="26">
        <f>-MAX(0,E129)*C17</f>
        <v>0</v>
      </c>
      <c r="F130" s="26">
        <f>-MAX(0,F129)*C17</f>
        <v>0</v>
      </c>
      <c r="G130" s="26">
        <f>-MAX(0,G129)*C17</f>
        <v>0</v>
      </c>
      <c r="H130" s="26">
        <f>-MAX(0,H129)*C17</f>
        <v>0</v>
      </c>
      <c r="I130" s="26">
        <f>-MAX(0,I129)*C17</f>
        <v>0</v>
      </c>
      <c r="J130" s="26">
        <f>-MAX(0,J129)*C17</f>
        <v>0</v>
      </c>
      <c r="K130" s="26">
        <f>-MAX(0,K129)*C17</f>
        <v>0</v>
      </c>
      <c r="L130" s="26">
        <f>-MAX(0,L129)*C17</f>
        <v>0</v>
      </c>
      <c r="M130" s="2"/>
      <c r="N130" s="2"/>
    </row>
    <row r="131" ht="18.75" customHeight="1">
      <c r="A131" s="160"/>
      <c r="B131" s="161" t="s">
        <v>403</v>
      </c>
      <c r="C131" s="162">
        <f t="shared" ref="C131:L131" si="23">C129+C130</f>
        <v>-1151550.519</v>
      </c>
      <c r="D131" s="162">
        <f t="shared" si="23"/>
        <v>-1568957.326</v>
      </c>
      <c r="E131" s="162">
        <f t="shared" si="23"/>
        <v>-1986364.133</v>
      </c>
      <c r="F131" s="162">
        <f t="shared" si="23"/>
        <v>-1961084.52</v>
      </c>
      <c r="G131" s="162">
        <f t="shared" si="23"/>
        <v>-1935804.907</v>
      </c>
      <c r="H131" s="162">
        <f t="shared" si="23"/>
        <v>-1910525.293</v>
      </c>
      <c r="I131" s="162">
        <f t="shared" si="23"/>
        <v>-1885245.68</v>
      </c>
      <c r="J131" s="162">
        <f t="shared" si="23"/>
        <v>-1885245.68</v>
      </c>
      <c r="K131" s="162">
        <f t="shared" si="23"/>
        <v>-1885245.68</v>
      </c>
      <c r="L131" s="162">
        <f t="shared" si="23"/>
        <v>-1885245.68</v>
      </c>
      <c r="M131" s="160"/>
      <c r="N131" s="160"/>
    </row>
    <row r="132">
      <c r="A132" s="2"/>
      <c r="B132" s="11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>
      <c r="A133" s="7"/>
      <c r="B133" s="168" t="s">
        <v>405</v>
      </c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5"/>
    </row>
    <row r="134">
      <c r="A134" s="2"/>
      <c r="B134" s="197" t="s">
        <v>340</v>
      </c>
      <c r="C134" s="198" t="s">
        <v>380</v>
      </c>
      <c r="D134" s="198" t="s">
        <v>381</v>
      </c>
      <c r="E134" s="198" t="s">
        <v>382</v>
      </c>
      <c r="F134" s="198" t="s">
        <v>383</v>
      </c>
      <c r="G134" s="198" t="s">
        <v>384</v>
      </c>
      <c r="H134" s="198" t="s">
        <v>385</v>
      </c>
      <c r="I134" s="198" t="s">
        <v>386</v>
      </c>
      <c r="J134" s="198" t="s">
        <v>387</v>
      </c>
      <c r="K134" s="198" t="s">
        <v>388</v>
      </c>
      <c r="L134" s="198" t="s">
        <v>389</v>
      </c>
      <c r="M134" s="30"/>
      <c r="N134" s="30"/>
    </row>
    <row r="135">
      <c r="A135" s="7"/>
      <c r="B135" s="96" t="s">
        <v>390</v>
      </c>
      <c r="C135" s="20">
        <f>F91*12*C22</f>
        <v>14452262.09</v>
      </c>
      <c r="D135" s="20">
        <f>F91*12*C23</f>
        <v>21678393.14</v>
      </c>
      <c r="E135" s="20">
        <f>F91*12*C24</f>
        <v>28904524.19</v>
      </c>
      <c r="F135" s="20">
        <f>F91*12*C24</f>
        <v>28904524.19</v>
      </c>
      <c r="G135" s="20">
        <f>F91*12*C24</f>
        <v>28904524.19</v>
      </c>
      <c r="H135" s="20">
        <f>F91*12*C24</f>
        <v>28904524.19</v>
      </c>
      <c r="I135" s="20">
        <f>F91*12*C24</f>
        <v>28904524.19</v>
      </c>
      <c r="J135" s="20">
        <f>F91*12*C24</f>
        <v>28904524.19</v>
      </c>
      <c r="K135" s="20">
        <f>F91*12*C24</f>
        <v>28904524.19</v>
      </c>
      <c r="L135" s="20">
        <f>F91*12*C24</f>
        <v>28904524.19</v>
      </c>
      <c r="M135" s="7"/>
      <c r="N135" s="7"/>
    </row>
    <row r="136">
      <c r="A136" s="2"/>
      <c r="B136" s="92" t="s">
        <v>375</v>
      </c>
      <c r="C136" s="26">
        <f>-C135*C11</f>
        <v>-1445226.209</v>
      </c>
      <c r="D136" s="26">
        <f>-D135*C11</f>
        <v>-2167839.314</v>
      </c>
      <c r="E136" s="26">
        <f>-E135*C11</f>
        <v>-2890452.419</v>
      </c>
      <c r="F136" s="26">
        <f>-F135*C11</f>
        <v>-2890452.419</v>
      </c>
      <c r="G136" s="26">
        <f>-G135*C11</f>
        <v>-2890452.419</v>
      </c>
      <c r="H136" s="26">
        <f>-H135*C11</f>
        <v>-2890452.419</v>
      </c>
      <c r="I136" s="26">
        <f>-I135*C11</f>
        <v>-2890452.419</v>
      </c>
      <c r="J136" s="26">
        <f>-J135*C11</f>
        <v>-2890452.419</v>
      </c>
      <c r="K136" s="26">
        <f>-K135*C11</f>
        <v>-2890452.419</v>
      </c>
      <c r="L136" s="26">
        <f>-L135*C11</f>
        <v>-2890452.419</v>
      </c>
      <c r="M136" s="2"/>
      <c r="N136" s="2"/>
    </row>
    <row r="137">
      <c r="A137" s="7"/>
      <c r="B137" s="163" t="s">
        <v>391</v>
      </c>
      <c r="C137" s="34">
        <f t="shared" ref="C137:L137" si="24">C135+C136</f>
        <v>13007035.88</v>
      </c>
      <c r="D137" s="34">
        <f t="shared" si="24"/>
        <v>19510553.83</v>
      </c>
      <c r="E137" s="34">
        <f t="shared" si="24"/>
        <v>26014071.77</v>
      </c>
      <c r="F137" s="34">
        <f t="shared" si="24"/>
        <v>26014071.77</v>
      </c>
      <c r="G137" s="34">
        <f t="shared" si="24"/>
        <v>26014071.77</v>
      </c>
      <c r="H137" s="34">
        <f t="shared" si="24"/>
        <v>26014071.77</v>
      </c>
      <c r="I137" s="34">
        <f t="shared" si="24"/>
        <v>26014071.77</v>
      </c>
      <c r="J137" s="34">
        <f t="shared" si="24"/>
        <v>26014071.77</v>
      </c>
      <c r="K137" s="34">
        <f t="shared" si="24"/>
        <v>26014071.77</v>
      </c>
      <c r="L137" s="34">
        <f t="shared" si="24"/>
        <v>26014071.77</v>
      </c>
      <c r="M137" s="35"/>
      <c r="N137" s="35"/>
    </row>
    <row r="138">
      <c r="A138" s="2"/>
      <c r="B138" s="92" t="s">
        <v>392</v>
      </c>
      <c r="C138" s="26">
        <f>-C79*12*C22</f>
        <v>-6586571.811</v>
      </c>
      <c r="D138" s="26">
        <f>-C79*12*C23</f>
        <v>-9879857.716</v>
      </c>
      <c r="E138" s="26">
        <f>-C79*12*C24</f>
        <v>-13173143.62</v>
      </c>
      <c r="F138" s="26">
        <f>-C79*12*C24</f>
        <v>-13173143.62</v>
      </c>
      <c r="G138" s="26">
        <f>-C79*12*C24</f>
        <v>-13173143.62</v>
      </c>
      <c r="H138" s="26">
        <f>-C79*12*C24</f>
        <v>-13173143.62</v>
      </c>
      <c r="I138" s="26">
        <f>-C79*12*C24</f>
        <v>-13173143.62</v>
      </c>
      <c r="J138" s="26">
        <f>-C79*12*C24</f>
        <v>-13173143.62</v>
      </c>
      <c r="K138" s="26">
        <f>-C79*12*C24</f>
        <v>-13173143.62</v>
      </c>
      <c r="L138" s="26">
        <f>-C79*12*C24</f>
        <v>-13173143.62</v>
      </c>
      <c r="M138" s="2"/>
      <c r="N138" s="2"/>
    </row>
    <row r="139" ht="18.75" customHeight="1">
      <c r="A139" s="160"/>
      <c r="B139" s="161" t="s">
        <v>393</v>
      </c>
      <c r="C139" s="162">
        <f t="shared" ref="C139:L139" si="25">C137+C138</f>
        <v>6420464.073</v>
      </c>
      <c r="D139" s="162">
        <f t="shared" si="25"/>
        <v>9630696.109</v>
      </c>
      <c r="E139" s="162">
        <f t="shared" si="25"/>
        <v>12840928.15</v>
      </c>
      <c r="F139" s="162">
        <f t="shared" si="25"/>
        <v>12840928.15</v>
      </c>
      <c r="G139" s="162">
        <f t="shared" si="25"/>
        <v>12840928.15</v>
      </c>
      <c r="H139" s="162">
        <f t="shared" si="25"/>
        <v>12840928.15</v>
      </c>
      <c r="I139" s="162">
        <f t="shared" si="25"/>
        <v>12840928.15</v>
      </c>
      <c r="J139" s="162">
        <f t="shared" si="25"/>
        <v>12840928.15</v>
      </c>
      <c r="K139" s="162">
        <f t="shared" si="25"/>
        <v>12840928.15</v>
      </c>
      <c r="L139" s="162">
        <f t="shared" si="25"/>
        <v>12840928.15</v>
      </c>
      <c r="M139" s="160"/>
      <c r="N139" s="160"/>
    </row>
    <row r="140">
      <c r="A140" s="2"/>
      <c r="B140" s="92" t="s">
        <v>394</v>
      </c>
      <c r="C140" s="36">
        <f t="shared" ref="C140:L140" si="26">IF(C137=0,0,C139/C137)</f>
        <v>0.4936146967</v>
      </c>
      <c r="D140" s="36">
        <f t="shared" si="26"/>
        <v>0.4936146967</v>
      </c>
      <c r="E140" s="36">
        <f t="shared" si="26"/>
        <v>0.4936146967</v>
      </c>
      <c r="F140" s="36">
        <f t="shared" si="26"/>
        <v>0.4936146967</v>
      </c>
      <c r="G140" s="36">
        <f t="shared" si="26"/>
        <v>0.4936146967</v>
      </c>
      <c r="H140" s="36">
        <f t="shared" si="26"/>
        <v>0.4936146967</v>
      </c>
      <c r="I140" s="36">
        <f t="shared" si="26"/>
        <v>0.4936146967</v>
      </c>
      <c r="J140" s="36">
        <f t="shared" si="26"/>
        <v>0.4936146967</v>
      </c>
      <c r="K140" s="36">
        <f t="shared" si="26"/>
        <v>0.4936146967</v>
      </c>
      <c r="L140" s="36">
        <f t="shared" si="26"/>
        <v>0.4936146967</v>
      </c>
      <c r="M140" s="2"/>
      <c r="N140" s="2"/>
    </row>
    <row r="141">
      <c r="A141" s="7"/>
      <c r="B141" s="96" t="s">
        <v>395</v>
      </c>
      <c r="C141" s="20">
        <f>-(C60/C18+C61/20)</f>
        <v>-114500</v>
      </c>
      <c r="D141" s="20">
        <f>-(C60/C18+C61/20)</f>
        <v>-114500</v>
      </c>
      <c r="E141" s="20">
        <f>-(C60/C18+C61/20)</f>
        <v>-114500</v>
      </c>
      <c r="F141" s="20">
        <f>-(C60/C18+C61/20)</f>
        <v>-114500</v>
      </c>
      <c r="G141" s="20">
        <f>-(C60/C18+C61/20)</f>
        <v>-114500</v>
      </c>
      <c r="H141" s="20">
        <f>-(C60/C18+C61/20)</f>
        <v>-114500</v>
      </c>
      <c r="I141" s="20">
        <f>-(C60/C18+C61/20)</f>
        <v>-114500</v>
      </c>
      <c r="J141" s="20">
        <f>-(C60/C18+C61/20)</f>
        <v>-114500</v>
      </c>
      <c r="K141" s="20">
        <f>-(C60/C18+C61/20)</f>
        <v>-114500</v>
      </c>
      <c r="L141" s="20">
        <f>-(C60/C18+C61/20)</f>
        <v>-114500</v>
      </c>
      <c r="M141" s="7"/>
      <c r="N141" s="7"/>
    </row>
    <row r="142">
      <c r="A142" s="2"/>
      <c r="B142" s="152" t="s">
        <v>396</v>
      </c>
      <c r="C142" s="22">
        <f t="shared" ref="C142:L142" si="27">C139+C141</f>
        <v>6305964.073</v>
      </c>
      <c r="D142" s="22">
        <f t="shared" si="27"/>
        <v>9516196.109</v>
      </c>
      <c r="E142" s="22">
        <f t="shared" si="27"/>
        <v>12726428.15</v>
      </c>
      <c r="F142" s="22">
        <f t="shared" si="27"/>
        <v>12726428.15</v>
      </c>
      <c r="G142" s="22">
        <f t="shared" si="27"/>
        <v>12726428.15</v>
      </c>
      <c r="H142" s="22">
        <f t="shared" si="27"/>
        <v>12726428.15</v>
      </c>
      <c r="I142" s="22">
        <f t="shared" si="27"/>
        <v>12726428.15</v>
      </c>
      <c r="J142" s="22">
        <f t="shared" si="27"/>
        <v>12726428.15</v>
      </c>
      <c r="K142" s="22">
        <f t="shared" si="27"/>
        <v>12726428.15</v>
      </c>
      <c r="L142" s="22">
        <f t="shared" si="27"/>
        <v>12726428.15</v>
      </c>
      <c r="M142" s="23"/>
      <c r="N142" s="23"/>
    </row>
    <row r="143">
      <c r="A143" s="7"/>
      <c r="B143" s="96" t="s">
        <v>397</v>
      </c>
      <c r="C143" s="20">
        <f t="shared" ref="C143:L143" si="28">-D195</f>
        <v>-151677.6789</v>
      </c>
      <c r="D143" s="20">
        <f t="shared" si="28"/>
        <v>-126398.0657</v>
      </c>
      <c r="E143" s="20">
        <f t="shared" si="28"/>
        <v>-101118.4526</v>
      </c>
      <c r="F143" s="20">
        <f t="shared" si="28"/>
        <v>-75838.83945</v>
      </c>
      <c r="G143" s="20">
        <f t="shared" si="28"/>
        <v>-50559.2263</v>
      </c>
      <c r="H143" s="20">
        <f t="shared" si="28"/>
        <v>-25279.61315</v>
      </c>
      <c r="I143" s="20">
        <f t="shared" si="28"/>
        <v>0</v>
      </c>
      <c r="J143" s="20">
        <f t="shared" si="28"/>
        <v>0</v>
      </c>
      <c r="K143" s="20">
        <f t="shared" si="28"/>
        <v>0</v>
      </c>
      <c r="L143" s="20">
        <f t="shared" si="28"/>
        <v>0</v>
      </c>
      <c r="M143" s="7"/>
      <c r="N143" s="7"/>
    </row>
    <row r="144">
      <c r="A144" s="2"/>
      <c r="B144" s="92" t="s">
        <v>398</v>
      </c>
      <c r="C144" s="26">
        <f t="shared" ref="C144:L144" si="29">C142+C143</f>
        <v>6154286.394</v>
      </c>
      <c r="D144" s="26">
        <f t="shared" si="29"/>
        <v>9389798.043</v>
      </c>
      <c r="E144" s="26">
        <f t="shared" si="29"/>
        <v>12625309.69</v>
      </c>
      <c r="F144" s="26">
        <f t="shared" si="29"/>
        <v>12650589.31</v>
      </c>
      <c r="G144" s="26">
        <f t="shared" si="29"/>
        <v>12675868.92</v>
      </c>
      <c r="H144" s="26">
        <f t="shared" si="29"/>
        <v>12701148.53</v>
      </c>
      <c r="I144" s="26">
        <f t="shared" si="29"/>
        <v>12726428.15</v>
      </c>
      <c r="J144" s="26">
        <f t="shared" si="29"/>
        <v>12726428.15</v>
      </c>
      <c r="K144" s="26">
        <f t="shared" si="29"/>
        <v>12726428.15</v>
      </c>
      <c r="L144" s="26">
        <f t="shared" si="29"/>
        <v>12726428.15</v>
      </c>
      <c r="M144" s="2"/>
      <c r="N144" s="2"/>
    </row>
    <row r="145">
      <c r="A145" s="7"/>
      <c r="B145" s="96" t="s">
        <v>399</v>
      </c>
      <c r="C145" s="20">
        <f>-MAX(0,C144)*C15</f>
        <v>-1846285.918</v>
      </c>
      <c r="D145" s="20">
        <f>-MAX(0,D144)*C15</f>
        <v>-2816939.413</v>
      </c>
      <c r="E145" s="20">
        <f>-MAX(0,E144)*C15</f>
        <v>-3787592.908</v>
      </c>
      <c r="F145" s="20">
        <f>-MAX(0,F144)*C15</f>
        <v>-3795176.792</v>
      </c>
      <c r="G145" s="20">
        <f>-MAX(0,G144)*C15</f>
        <v>-3802760.676</v>
      </c>
      <c r="H145" s="20">
        <f>-MAX(0,H144)*C15</f>
        <v>-3810344.56</v>
      </c>
      <c r="I145" s="20">
        <f>-MAX(0,I144)*C15</f>
        <v>-3817928.444</v>
      </c>
      <c r="J145" s="20">
        <f>-MAX(0,J144)*C15</f>
        <v>-3817928.444</v>
      </c>
      <c r="K145" s="20">
        <f>-MAX(0,K144)*C15</f>
        <v>-3817928.444</v>
      </c>
      <c r="L145" s="20">
        <f>-MAX(0,L144)*C15</f>
        <v>-3817928.444</v>
      </c>
      <c r="M145" s="7"/>
      <c r="N145" s="7"/>
    </row>
    <row r="146">
      <c r="A146" s="2"/>
      <c r="B146" s="92" t="s">
        <v>400</v>
      </c>
      <c r="C146" s="26">
        <f>-MAX(0,C144)*C16</f>
        <v>-615428.6394</v>
      </c>
      <c r="D146" s="26">
        <f>-MAX(0,D144)*C16</f>
        <v>-938979.8043</v>
      </c>
      <c r="E146" s="26">
        <f>-MAX(0,E144)*C16</f>
        <v>-1262530.969</v>
      </c>
      <c r="F146" s="26">
        <f>-MAX(0,F144)*C16</f>
        <v>-1265058.931</v>
      </c>
      <c r="G146" s="26">
        <f>-MAX(0,G144)*C16</f>
        <v>-1267586.892</v>
      </c>
      <c r="H146" s="26">
        <f>-MAX(0,H144)*C16</f>
        <v>-1270114.853</v>
      </c>
      <c r="I146" s="26">
        <f>-MAX(0,I144)*C16</f>
        <v>-1272642.815</v>
      </c>
      <c r="J146" s="26">
        <f>-MAX(0,J144)*C16</f>
        <v>-1272642.815</v>
      </c>
      <c r="K146" s="26">
        <f>-MAX(0,K144)*C16</f>
        <v>-1272642.815</v>
      </c>
      <c r="L146" s="26">
        <f>-MAX(0,L144)*C16</f>
        <v>-1272642.815</v>
      </c>
      <c r="M146" s="2"/>
      <c r="N146" s="2"/>
    </row>
    <row r="147" ht="18.75" customHeight="1">
      <c r="A147" s="160"/>
      <c r="B147" s="161" t="s">
        <v>401</v>
      </c>
      <c r="C147" s="162">
        <f t="shared" ref="C147:L147" si="30">C144+C145+C146</f>
        <v>3692571.836</v>
      </c>
      <c r="D147" s="162">
        <f t="shared" si="30"/>
        <v>5633878.826</v>
      </c>
      <c r="E147" s="162">
        <f t="shared" si="30"/>
        <v>7575185.815</v>
      </c>
      <c r="F147" s="162">
        <f t="shared" si="30"/>
        <v>7590353.583</v>
      </c>
      <c r="G147" s="162">
        <f t="shared" si="30"/>
        <v>7605521.351</v>
      </c>
      <c r="H147" s="162">
        <f t="shared" si="30"/>
        <v>7620689.119</v>
      </c>
      <c r="I147" s="162">
        <f t="shared" si="30"/>
        <v>7635856.887</v>
      </c>
      <c r="J147" s="162">
        <f t="shared" si="30"/>
        <v>7635856.887</v>
      </c>
      <c r="K147" s="162">
        <f t="shared" si="30"/>
        <v>7635856.887</v>
      </c>
      <c r="L147" s="162">
        <f t="shared" si="30"/>
        <v>7635856.887</v>
      </c>
      <c r="M147" s="160"/>
      <c r="N147" s="160"/>
    </row>
    <row r="148">
      <c r="A148" s="2"/>
      <c r="B148" s="92" t="s">
        <v>402</v>
      </c>
      <c r="C148" s="26">
        <f>-MAX(0,C147)*C17</f>
        <v>-184628.5918</v>
      </c>
      <c r="D148" s="26">
        <f>-MAX(0,D147)*C17</f>
        <v>-281693.9413</v>
      </c>
      <c r="E148" s="26">
        <f>-MAX(0,E147)*C17</f>
        <v>-378759.2908</v>
      </c>
      <c r="F148" s="26">
        <f>-MAX(0,F147)*C17</f>
        <v>-379517.6792</v>
      </c>
      <c r="G148" s="26">
        <f>-MAX(0,G147)*C17</f>
        <v>-380276.0676</v>
      </c>
      <c r="H148" s="26">
        <f>-MAX(0,H147)*C17</f>
        <v>-381034.456</v>
      </c>
      <c r="I148" s="26">
        <f>-MAX(0,I147)*C17</f>
        <v>-381792.8444</v>
      </c>
      <c r="J148" s="26">
        <f>-MAX(0,J147)*C17</f>
        <v>-381792.8444</v>
      </c>
      <c r="K148" s="26">
        <f>-MAX(0,K147)*C17</f>
        <v>-381792.8444</v>
      </c>
      <c r="L148" s="26">
        <f>-MAX(0,L147)*C17</f>
        <v>-381792.8444</v>
      </c>
      <c r="M148" s="2"/>
      <c r="N148" s="2"/>
    </row>
    <row r="149" ht="18.75" customHeight="1">
      <c r="A149" s="160"/>
      <c r="B149" s="161" t="s">
        <v>403</v>
      </c>
      <c r="C149" s="162">
        <f t="shared" ref="C149:L149" si="31">C147+C148</f>
        <v>3507943.244</v>
      </c>
      <c r="D149" s="162">
        <f t="shared" si="31"/>
        <v>5352184.885</v>
      </c>
      <c r="E149" s="162">
        <f t="shared" si="31"/>
        <v>7196426.525</v>
      </c>
      <c r="F149" s="162">
        <f t="shared" si="31"/>
        <v>7210835.904</v>
      </c>
      <c r="G149" s="162">
        <f t="shared" si="31"/>
        <v>7225245.284</v>
      </c>
      <c r="H149" s="162">
        <f t="shared" si="31"/>
        <v>7239654.663</v>
      </c>
      <c r="I149" s="162">
        <f t="shared" si="31"/>
        <v>7254064.043</v>
      </c>
      <c r="J149" s="162">
        <f t="shared" si="31"/>
        <v>7254064.043</v>
      </c>
      <c r="K149" s="162">
        <f t="shared" si="31"/>
        <v>7254064.043</v>
      </c>
      <c r="L149" s="162">
        <f t="shared" si="31"/>
        <v>7254064.043</v>
      </c>
      <c r="M149" s="160"/>
      <c r="N149" s="160"/>
    </row>
    <row r="150">
      <c r="A150" s="2"/>
      <c r="B150" s="11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>
      <c r="A151" s="7"/>
      <c r="B151" s="168" t="s">
        <v>560</v>
      </c>
      <c r="C151" s="4"/>
      <c r="D151" s="4"/>
      <c r="E151" s="4"/>
      <c r="F151" s="4"/>
      <c r="G151" s="4"/>
      <c r="H151" s="5"/>
      <c r="I151" s="182"/>
      <c r="J151" s="182"/>
      <c r="K151" s="182"/>
      <c r="L151" s="182"/>
      <c r="M151" s="182"/>
      <c r="N151" s="182"/>
    </row>
    <row r="152">
      <c r="A152" s="2"/>
      <c r="B152" s="197" t="s">
        <v>407</v>
      </c>
      <c r="C152" s="198" t="s">
        <v>408</v>
      </c>
      <c r="D152" s="198" t="s">
        <v>409</v>
      </c>
      <c r="E152" s="198" t="s">
        <v>410</v>
      </c>
      <c r="F152" s="198"/>
      <c r="G152" s="198"/>
      <c r="H152" s="198"/>
      <c r="I152" s="2"/>
      <c r="J152" s="2"/>
      <c r="K152" s="2"/>
      <c r="L152" s="2"/>
      <c r="M152" s="2"/>
      <c r="N152" s="2"/>
    </row>
    <row r="153">
      <c r="A153" s="7"/>
      <c r="B153" s="96" t="s">
        <v>411</v>
      </c>
      <c r="C153" s="20">
        <f t="shared" ref="C153:C154" si="32">C60</f>
        <v>1035000</v>
      </c>
      <c r="D153" s="129">
        <f>C18</f>
        <v>10</v>
      </c>
      <c r="E153" s="20">
        <f t="shared" ref="E153:E154" si="33">C153/D153</f>
        <v>103500</v>
      </c>
      <c r="F153" s="7"/>
      <c r="G153" s="7"/>
      <c r="H153" s="7"/>
      <c r="I153" s="7"/>
      <c r="J153" s="7"/>
      <c r="K153" s="7"/>
      <c r="L153" s="7"/>
      <c r="M153" s="7"/>
      <c r="N153" s="7"/>
    </row>
    <row r="154">
      <c r="A154" s="2"/>
      <c r="B154" s="92" t="s">
        <v>343</v>
      </c>
      <c r="C154" s="26">
        <f t="shared" si="32"/>
        <v>220000</v>
      </c>
      <c r="D154" s="102">
        <v>20.0</v>
      </c>
      <c r="E154" s="26">
        <f t="shared" si="33"/>
        <v>11000</v>
      </c>
      <c r="F154" s="2"/>
      <c r="G154" s="2"/>
      <c r="H154" s="2"/>
      <c r="I154" s="2"/>
      <c r="J154" s="2"/>
      <c r="K154" s="2"/>
      <c r="L154" s="2"/>
      <c r="M154" s="2"/>
      <c r="N154" s="2"/>
    </row>
    <row r="155" ht="18.75" customHeight="1">
      <c r="A155" s="132"/>
      <c r="B155" s="133" t="s">
        <v>412</v>
      </c>
      <c r="C155" s="132"/>
      <c r="D155" s="132"/>
      <c r="E155" s="135">
        <f>E153+E154</f>
        <v>114500</v>
      </c>
      <c r="F155" s="132"/>
      <c r="G155" s="132"/>
      <c r="H155" s="132"/>
      <c r="I155" s="132"/>
      <c r="J155" s="132"/>
      <c r="K155" s="132"/>
      <c r="L155" s="132"/>
      <c r="M155" s="132"/>
      <c r="N155" s="132"/>
    </row>
    <row r="156">
      <c r="A156" s="2"/>
      <c r="B156" s="11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>
      <c r="A157" s="7"/>
      <c r="B157" s="168" t="s">
        <v>561</v>
      </c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5"/>
    </row>
    <row r="158">
      <c r="A158" s="2"/>
      <c r="B158" s="199" t="s">
        <v>414</v>
      </c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5"/>
    </row>
    <row r="159">
      <c r="A159" s="7"/>
      <c r="B159" s="96" t="s">
        <v>415</v>
      </c>
      <c r="C159" s="20">
        <f>C64*C29</f>
        <v>1123538.362</v>
      </c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</row>
    <row r="160">
      <c r="A160" s="2"/>
      <c r="B160" s="92" t="s">
        <v>416</v>
      </c>
      <c r="C160" s="36">
        <f t="shared" ref="C160:C161" si="34">C30</f>
        <v>0.135</v>
      </c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>
      <c r="A161" s="7"/>
      <c r="B161" s="96" t="s">
        <v>417</v>
      </c>
      <c r="C161" s="129">
        <f t="shared" si="34"/>
        <v>6</v>
      </c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</row>
    <row r="162">
      <c r="A162" s="2"/>
      <c r="B162" s="11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>
      <c r="A163" s="7"/>
      <c r="B163" s="193" t="s">
        <v>340</v>
      </c>
      <c r="C163" s="187" t="s">
        <v>418</v>
      </c>
      <c r="D163" s="187" t="s">
        <v>380</v>
      </c>
      <c r="E163" s="187" t="s">
        <v>381</v>
      </c>
      <c r="F163" s="187" t="s">
        <v>382</v>
      </c>
      <c r="G163" s="187" t="s">
        <v>383</v>
      </c>
      <c r="H163" s="187" t="s">
        <v>384</v>
      </c>
      <c r="I163" s="187" t="s">
        <v>385</v>
      </c>
      <c r="J163" s="187" t="s">
        <v>386</v>
      </c>
      <c r="K163" s="187" t="s">
        <v>387</v>
      </c>
      <c r="L163" s="187" t="s">
        <v>388</v>
      </c>
      <c r="M163" s="187" t="s">
        <v>389</v>
      </c>
      <c r="N163" s="16"/>
    </row>
    <row r="164">
      <c r="A164" s="2"/>
      <c r="B164" s="92" t="s">
        <v>419</v>
      </c>
      <c r="C164" s="26">
        <v>0.0</v>
      </c>
      <c r="D164" s="26">
        <f t="shared" ref="D164:L164" si="35">C169</f>
        <v>1123538.362</v>
      </c>
      <c r="E164" s="26">
        <f t="shared" si="35"/>
        <v>936281.9685</v>
      </c>
      <c r="F164" s="26">
        <f t="shared" si="35"/>
        <v>749025.5748</v>
      </c>
      <c r="G164" s="26">
        <f t="shared" si="35"/>
        <v>561769.1811</v>
      </c>
      <c r="H164" s="26">
        <f t="shared" si="35"/>
        <v>374512.7874</v>
      </c>
      <c r="I164" s="26">
        <f t="shared" si="35"/>
        <v>187256.3937</v>
      </c>
      <c r="J164" s="26">
        <f t="shared" si="35"/>
        <v>0.0000000001746229827</v>
      </c>
      <c r="K164" s="26">
        <f t="shared" si="35"/>
        <v>0.0000000001746229827</v>
      </c>
      <c r="L164" s="26">
        <f t="shared" si="35"/>
        <v>0.0000000001746229827</v>
      </c>
      <c r="M164" s="26">
        <f>L168</f>
        <v>0</v>
      </c>
      <c r="N164" s="2"/>
    </row>
    <row r="165">
      <c r="A165" s="7"/>
      <c r="B165" s="96" t="s">
        <v>420</v>
      </c>
      <c r="C165" s="20">
        <f>C159</f>
        <v>1123538.362</v>
      </c>
      <c r="D165" s="20">
        <v>0.0</v>
      </c>
      <c r="E165" s="20">
        <v>0.0</v>
      </c>
      <c r="F165" s="20">
        <v>0.0</v>
      </c>
      <c r="G165" s="20">
        <v>0.0</v>
      </c>
      <c r="H165" s="20">
        <v>0.0</v>
      </c>
      <c r="I165" s="20">
        <v>0.0</v>
      </c>
      <c r="J165" s="20">
        <v>0.0</v>
      </c>
      <c r="K165" s="20">
        <v>0.0</v>
      </c>
      <c r="L165" s="20">
        <v>0.0</v>
      </c>
      <c r="M165" s="20">
        <v>0.0</v>
      </c>
      <c r="N165" s="7"/>
    </row>
    <row r="166">
      <c r="A166" s="2"/>
      <c r="B166" s="92" t="s">
        <v>421</v>
      </c>
      <c r="C166" s="26">
        <v>0.0</v>
      </c>
      <c r="D166" s="26">
        <f>IF(1&lt;=C161,C159/C161,0)</f>
        <v>187256.3937</v>
      </c>
      <c r="E166" s="26">
        <f>IF(2&lt;=C161,C159/C161,0)</f>
        <v>187256.3937</v>
      </c>
      <c r="F166" s="26">
        <f>IF(3&lt;=C161,C159/C161,0)</f>
        <v>187256.3937</v>
      </c>
      <c r="G166" s="26">
        <f>IF(4&lt;=C161,C159/C161,0)</f>
        <v>187256.3937</v>
      </c>
      <c r="H166" s="26">
        <f>IF(5&lt;=C161,C159/C161,0)</f>
        <v>187256.3937</v>
      </c>
      <c r="I166" s="26">
        <f>IF(6&lt;=C161,C159/C161,0)</f>
        <v>187256.3937</v>
      </c>
      <c r="J166" s="26">
        <f>IF(7&lt;=C161,C159/C161,0)</f>
        <v>0</v>
      </c>
      <c r="K166" s="26">
        <f>IF(8&lt;=C161,C159/C161,0)</f>
        <v>0</v>
      </c>
      <c r="L166" s="26">
        <f>IF(9&lt;=C161,C159/C161,0)</f>
        <v>0</v>
      </c>
      <c r="M166" s="26">
        <f>IF(10&lt;=C161,C159/C161,0)</f>
        <v>0</v>
      </c>
      <c r="N166" s="2"/>
    </row>
    <row r="167">
      <c r="A167" s="7"/>
      <c r="B167" s="96" t="s">
        <v>422</v>
      </c>
      <c r="C167" s="20">
        <v>0.0</v>
      </c>
      <c r="D167" s="20">
        <f>D164*C160</f>
        <v>151677.6789</v>
      </c>
      <c r="E167" s="20">
        <f>E164*C160</f>
        <v>126398.0657</v>
      </c>
      <c r="F167" s="20">
        <f>F164*C160</f>
        <v>101118.4526</v>
      </c>
      <c r="G167" s="20">
        <f>G164*C160</f>
        <v>75838.83945</v>
      </c>
      <c r="H167" s="20">
        <f>H164*C160</f>
        <v>50559.2263</v>
      </c>
      <c r="I167" s="20">
        <f>I164*C160</f>
        <v>25279.61315</v>
      </c>
      <c r="J167" s="20">
        <f>J164*C160</f>
        <v>0</v>
      </c>
      <c r="K167" s="20">
        <f>K164*C160</f>
        <v>0</v>
      </c>
      <c r="L167" s="20">
        <f>L164*C160</f>
        <v>0</v>
      </c>
      <c r="M167" s="20">
        <f>M164*C160</f>
        <v>0</v>
      </c>
      <c r="N167" s="7"/>
    </row>
    <row r="168">
      <c r="A168" s="2"/>
      <c r="B168" s="152" t="s">
        <v>423</v>
      </c>
      <c r="C168" s="22">
        <v>0.0</v>
      </c>
      <c r="D168" s="22">
        <f t="shared" ref="D168:M168" si="36">D166+D167</f>
        <v>338934.0726</v>
      </c>
      <c r="E168" s="22">
        <f t="shared" si="36"/>
        <v>313654.4594</v>
      </c>
      <c r="F168" s="22">
        <f t="shared" si="36"/>
        <v>288374.8463</v>
      </c>
      <c r="G168" s="22">
        <f t="shared" si="36"/>
        <v>263095.2331</v>
      </c>
      <c r="H168" s="22">
        <f t="shared" si="36"/>
        <v>237815.62</v>
      </c>
      <c r="I168" s="22">
        <f t="shared" si="36"/>
        <v>212536.0068</v>
      </c>
      <c r="J168" s="22">
        <f t="shared" si="36"/>
        <v>0</v>
      </c>
      <c r="K168" s="22">
        <f t="shared" si="36"/>
        <v>0</v>
      </c>
      <c r="L168" s="22">
        <f t="shared" si="36"/>
        <v>0</v>
      </c>
      <c r="M168" s="22">
        <f t="shared" si="36"/>
        <v>0</v>
      </c>
      <c r="N168" s="2"/>
    </row>
    <row r="169">
      <c r="A169" s="7"/>
      <c r="B169" s="96" t="s">
        <v>424</v>
      </c>
      <c r="C169" s="20">
        <f t="shared" ref="C169:M169" si="37">C164+C165-C166</f>
        <v>1123538.362</v>
      </c>
      <c r="D169" s="20">
        <f t="shared" si="37"/>
        <v>936281.9685</v>
      </c>
      <c r="E169" s="20">
        <f t="shared" si="37"/>
        <v>749025.5748</v>
      </c>
      <c r="F169" s="20">
        <f t="shared" si="37"/>
        <v>561769.1811</v>
      </c>
      <c r="G169" s="20">
        <f t="shared" si="37"/>
        <v>374512.7874</v>
      </c>
      <c r="H169" s="20">
        <f t="shared" si="37"/>
        <v>187256.3937</v>
      </c>
      <c r="I169" s="20">
        <f t="shared" si="37"/>
        <v>0.0000000001746229827</v>
      </c>
      <c r="J169" s="20">
        <f t="shared" si="37"/>
        <v>0.0000000001746229827</v>
      </c>
      <c r="K169" s="20">
        <f t="shared" si="37"/>
        <v>0.0000000001746229827</v>
      </c>
      <c r="L169" s="20">
        <f t="shared" si="37"/>
        <v>0.0000000001746229827</v>
      </c>
      <c r="M169" s="20">
        <f t="shared" si="37"/>
        <v>0</v>
      </c>
      <c r="N169" s="7"/>
    </row>
    <row r="170">
      <c r="A170" s="2"/>
      <c r="B170" s="92" t="s">
        <v>425</v>
      </c>
      <c r="C170" s="188" t="s">
        <v>426</v>
      </c>
      <c r="D170" s="42">
        <f t="shared" ref="D170:M170" si="38">IF(D168=0,"-",C103/D168)</f>
        <v>-7.261315957</v>
      </c>
      <c r="E170" s="42">
        <f t="shared" si="38"/>
        <v>-11.76983452</v>
      </c>
      <c r="F170" s="42">
        <f t="shared" si="38"/>
        <v>-17.06880764</v>
      </c>
      <c r="G170" s="42">
        <f t="shared" si="38"/>
        <v>-18.70887101</v>
      </c>
      <c r="H170" s="42">
        <f t="shared" si="38"/>
        <v>-20.69760926</v>
      </c>
      <c r="I170" s="42">
        <f t="shared" si="38"/>
        <v>-23.15943944</v>
      </c>
      <c r="J170" s="42">
        <f t="shared" si="38"/>
        <v>-2.08798E+17</v>
      </c>
      <c r="K170" s="42">
        <f t="shared" si="38"/>
        <v>-2.08798E+17</v>
      </c>
      <c r="L170" s="42">
        <f t="shared" si="38"/>
        <v>-2.08798E+17</v>
      </c>
      <c r="M170" s="42">
        <f t="shared" si="38"/>
        <v>-1.54665E+18</v>
      </c>
      <c r="N170" s="2"/>
    </row>
    <row r="171">
      <c r="A171" s="7"/>
      <c r="B171" s="13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</row>
    <row r="172">
      <c r="A172" s="2"/>
      <c r="B172" s="199" t="s">
        <v>427</v>
      </c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5"/>
    </row>
    <row r="173">
      <c r="A173" s="7"/>
      <c r="B173" s="96" t="s">
        <v>415</v>
      </c>
      <c r="C173" s="20">
        <f>C64*C29</f>
        <v>1123538.362</v>
      </c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</row>
    <row r="174">
      <c r="A174" s="2"/>
      <c r="B174" s="92" t="s">
        <v>416</v>
      </c>
      <c r="C174" s="36">
        <f t="shared" ref="C174:C175" si="39">C30</f>
        <v>0.135</v>
      </c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>
      <c r="A175" s="7"/>
      <c r="B175" s="96" t="s">
        <v>417</v>
      </c>
      <c r="C175" s="129">
        <f t="shared" si="39"/>
        <v>6</v>
      </c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</row>
    <row r="176">
      <c r="A176" s="2"/>
      <c r="B176" s="11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>
      <c r="A177" s="7"/>
      <c r="B177" s="193" t="s">
        <v>340</v>
      </c>
      <c r="C177" s="187" t="s">
        <v>418</v>
      </c>
      <c r="D177" s="187" t="s">
        <v>380</v>
      </c>
      <c r="E177" s="187" t="s">
        <v>381</v>
      </c>
      <c r="F177" s="187" t="s">
        <v>382</v>
      </c>
      <c r="G177" s="187" t="s">
        <v>383</v>
      </c>
      <c r="H177" s="187" t="s">
        <v>384</v>
      </c>
      <c r="I177" s="187" t="s">
        <v>385</v>
      </c>
      <c r="J177" s="187" t="s">
        <v>386</v>
      </c>
      <c r="K177" s="187" t="s">
        <v>387</v>
      </c>
      <c r="L177" s="187" t="s">
        <v>388</v>
      </c>
      <c r="M177" s="187" t="s">
        <v>389</v>
      </c>
      <c r="N177" s="16"/>
    </row>
    <row r="178">
      <c r="A178" s="2"/>
      <c r="B178" s="92" t="s">
        <v>419</v>
      </c>
      <c r="C178" s="26">
        <v>0.0</v>
      </c>
      <c r="D178" s="26">
        <f t="shared" ref="D178:L178" si="40">C183</f>
        <v>1123538.362</v>
      </c>
      <c r="E178" s="26">
        <f t="shared" si="40"/>
        <v>936281.9685</v>
      </c>
      <c r="F178" s="26">
        <f t="shared" si="40"/>
        <v>749025.5748</v>
      </c>
      <c r="G178" s="26">
        <f t="shared" si="40"/>
        <v>561769.1811</v>
      </c>
      <c r="H178" s="26">
        <f t="shared" si="40"/>
        <v>374512.7874</v>
      </c>
      <c r="I178" s="26">
        <f t="shared" si="40"/>
        <v>187256.3937</v>
      </c>
      <c r="J178" s="26">
        <f t="shared" si="40"/>
        <v>0.0000000001746229827</v>
      </c>
      <c r="K178" s="26">
        <f t="shared" si="40"/>
        <v>0.0000000001746229827</v>
      </c>
      <c r="L178" s="26">
        <f t="shared" si="40"/>
        <v>0.0000000001746229827</v>
      </c>
      <c r="M178" s="26">
        <f>L182</f>
        <v>0</v>
      </c>
      <c r="N178" s="2"/>
    </row>
    <row r="179">
      <c r="A179" s="7"/>
      <c r="B179" s="96" t="s">
        <v>420</v>
      </c>
      <c r="C179" s="20">
        <f>C173</f>
        <v>1123538.362</v>
      </c>
      <c r="D179" s="20">
        <v>0.0</v>
      </c>
      <c r="E179" s="20">
        <v>0.0</v>
      </c>
      <c r="F179" s="20">
        <v>0.0</v>
      </c>
      <c r="G179" s="20">
        <v>0.0</v>
      </c>
      <c r="H179" s="20">
        <v>0.0</v>
      </c>
      <c r="I179" s="20">
        <v>0.0</v>
      </c>
      <c r="J179" s="20">
        <v>0.0</v>
      </c>
      <c r="K179" s="20">
        <v>0.0</v>
      </c>
      <c r="L179" s="20">
        <v>0.0</v>
      </c>
      <c r="M179" s="20">
        <v>0.0</v>
      </c>
      <c r="N179" s="7"/>
    </row>
    <row r="180">
      <c r="A180" s="2"/>
      <c r="B180" s="92" t="s">
        <v>421</v>
      </c>
      <c r="C180" s="26">
        <v>0.0</v>
      </c>
      <c r="D180" s="26">
        <f>IF(1&lt;=C175,C173/C175,0)</f>
        <v>187256.3937</v>
      </c>
      <c r="E180" s="26">
        <f>IF(2&lt;=C175,C173/C175,0)</f>
        <v>187256.3937</v>
      </c>
      <c r="F180" s="26">
        <f>IF(3&lt;=C175,C173/C175,0)</f>
        <v>187256.3937</v>
      </c>
      <c r="G180" s="26">
        <f>IF(4&lt;=C175,C173/C175,0)</f>
        <v>187256.3937</v>
      </c>
      <c r="H180" s="26">
        <f>IF(5&lt;=C175,C173/C175,0)</f>
        <v>187256.3937</v>
      </c>
      <c r="I180" s="26">
        <f>IF(6&lt;=C175,C173/C175,0)</f>
        <v>187256.3937</v>
      </c>
      <c r="J180" s="26">
        <f>IF(7&lt;=C175,C173/C175,0)</f>
        <v>0</v>
      </c>
      <c r="K180" s="26">
        <f>IF(8&lt;=C175,C173/C175,0)</f>
        <v>0</v>
      </c>
      <c r="L180" s="26">
        <f>IF(9&lt;=C175,C173/C175,0)</f>
        <v>0</v>
      </c>
      <c r="M180" s="26">
        <f>IF(10&lt;=C175,C173/C175,0)</f>
        <v>0</v>
      </c>
      <c r="N180" s="2"/>
    </row>
    <row r="181">
      <c r="A181" s="7"/>
      <c r="B181" s="96" t="s">
        <v>422</v>
      </c>
      <c r="C181" s="20">
        <v>0.0</v>
      </c>
      <c r="D181" s="20">
        <f>D178*C174</f>
        <v>151677.6789</v>
      </c>
      <c r="E181" s="20">
        <f>E178*C174</f>
        <v>126398.0657</v>
      </c>
      <c r="F181" s="20">
        <f>F178*C174</f>
        <v>101118.4526</v>
      </c>
      <c r="G181" s="20">
        <f>G178*C174</f>
        <v>75838.83945</v>
      </c>
      <c r="H181" s="20">
        <f>H178*C174</f>
        <v>50559.2263</v>
      </c>
      <c r="I181" s="20">
        <f>I178*C174</f>
        <v>25279.61315</v>
      </c>
      <c r="J181" s="20">
        <f>J178*C174</f>
        <v>0</v>
      </c>
      <c r="K181" s="20">
        <f>K178*C174</f>
        <v>0</v>
      </c>
      <c r="L181" s="20">
        <f>L178*C174</f>
        <v>0</v>
      </c>
      <c r="M181" s="20">
        <f>M178*C174</f>
        <v>0</v>
      </c>
      <c r="N181" s="7"/>
    </row>
    <row r="182">
      <c r="A182" s="2"/>
      <c r="B182" s="152" t="s">
        <v>423</v>
      </c>
      <c r="C182" s="22">
        <v>0.0</v>
      </c>
      <c r="D182" s="22">
        <f t="shared" ref="D182:M182" si="41">D180+D181</f>
        <v>338934.0726</v>
      </c>
      <c r="E182" s="22">
        <f t="shared" si="41"/>
        <v>313654.4594</v>
      </c>
      <c r="F182" s="22">
        <f t="shared" si="41"/>
        <v>288374.8463</v>
      </c>
      <c r="G182" s="22">
        <f t="shared" si="41"/>
        <v>263095.2331</v>
      </c>
      <c r="H182" s="22">
        <f t="shared" si="41"/>
        <v>237815.62</v>
      </c>
      <c r="I182" s="22">
        <f t="shared" si="41"/>
        <v>212536.0068</v>
      </c>
      <c r="J182" s="22">
        <f t="shared" si="41"/>
        <v>0</v>
      </c>
      <c r="K182" s="22">
        <f t="shared" si="41"/>
        <v>0</v>
      </c>
      <c r="L182" s="22">
        <f t="shared" si="41"/>
        <v>0</v>
      </c>
      <c r="M182" s="22">
        <f t="shared" si="41"/>
        <v>0</v>
      </c>
      <c r="N182" s="2"/>
    </row>
    <row r="183">
      <c r="A183" s="7"/>
      <c r="B183" s="96" t="s">
        <v>424</v>
      </c>
      <c r="C183" s="20">
        <f t="shared" ref="C183:M183" si="42">C178+C179-C180</f>
        <v>1123538.362</v>
      </c>
      <c r="D183" s="20">
        <f t="shared" si="42"/>
        <v>936281.9685</v>
      </c>
      <c r="E183" s="20">
        <f t="shared" si="42"/>
        <v>749025.5748</v>
      </c>
      <c r="F183" s="20">
        <f t="shared" si="42"/>
        <v>561769.1811</v>
      </c>
      <c r="G183" s="20">
        <f t="shared" si="42"/>
        <v>374512.7874</v>
      </c>
      <c r="H183" s="20">
        <f t="shared" si="42"/>
        <v>187256.3937</v>
      </c>
      <c r="I183" s="20">
        <f t="shared" si="42"/>
        <v>0.0000000001746229827</v>
      </c>
      <c r="J183" s="20">
        <f t="shared" si="42"/>
        <v>0.0000000001746229827</v>
      </c>
      <c r="K183" s="20">
        <f t="shared" si="42"/>
        <v>0.0000000001746229827</v>
      </c>
      <c r="L183" s="20">
        <f t="shared" si="42"/>
        <v>0.0000000001746229827</v>
      </c>
      <c r="M183" s="20">
        <f t="shared" si="42"/>
        <v>0</v>
      </c>
      <c r="N183" s="7"/>
    </row>
    <row r="184">
      <c r="A184" s="2"/>
      <c r="B184" s="92" t="s">
        <v>425</v>
      </c>
      <c r="C184" s="188" t="s">
        <v>426</v>
      </c>
      <c r="D184" s="42">
        <f t="shared" ref="D184:M184" si="43">IF(D182=0,"-",C121/D182)</f>
        <v>-2.612227308</v>
      </c>
      <c r="E184" s="42">
        <f t="shared" si="43"/>
        <v>-4.234147547</v>
      </c>
      <c r="F184" s="42">
        <f t="shared" si="43"/>
        <v>-6.140430426</v>
      </c>
      <c r="G184" s="42">
        <f t="shared" si="43"/>
        <v>-6.730436196</v>
      </c>
      <c r="H184" s="42">
        <f t="shared" si="43"/>
        <v>-7.445876264</v>
      </c>
      <c r="I184" s="42">
        <f t="shared" si="43"/>
        <v>-8.331509124</v>
      </c>
      <c r="J184" s="42">
        <f t="shared" si="43"/>
        <v>-7.5114E+16</v>
      </c>
      <c r="K184" s="42">
        <f t="shared" si="43"/>
        <v>-7.5114E+16</v>
      </c>
      <c r="L184" s="42">
        <f t="shared" si="43"/>
        <v>-7.5114E+16</v>
      </c>
      <c r="M184" s="42">
        <f t="shared" si="43"/>
        <v>-5.564E+17</v>
      </c>
      <c r="N184" s="2"/>
    </row>
    <row r="185">
      <c r="A185" s="7"/>
      <c r="B185" s="13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</row>
    <row r="186">
      <c r="A186" s="2"/>
      <c r="B186" s="199" t="s">
        <v>428</v>
      </c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5"/>
    </row>
    <row r="187">
      <c r="A187" s="7"/>
      <c r="B187" s="96" t="s">
        <v>415</v>
      </c>
      <c r="C187" s="20">
        <f>C64*C29</f>
        <v>1123538.362</v>
      </c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</row>
    <row r="188">
      <c r="A188" s="2"/>
      <c r="B188" s="92" t="s">
        <v>416</v>
      </c>
      <c r="C188" s="36">
        <f t="shared" ref="C188:C189" si="44">C30</f>
        <v>0.135</v>
      </c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>
      <c r="A189" s="7"/>
      <c r="B189" s="96" t="s">
        <v>417</v>
      </c>
      <c r="C189" s="129">
        <f t="shared" si="44"/>
        <v>6</v>
      </c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</row>
    <row r="190">
      <c r="A190" s="2"/>
      <c r="B190" s="11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>
      <c r="A191" s="7"/>
      <c r="B191" s="193" t="s">
        <v>340</v>
      </c>
      <c r="C191" s="187" t="s">
        <v>418</v>
      </c>
      <c r="D191" s="187" t="s">
        <v>380</v>
      </c>
      <c r="E191" s="187" t="s">
        <v>381</v>
      </c>
      <c r="F191" s="187" t="s">
        <v>382</v>
      </c>
      <c r="G191" s="187" t="s">
        <v>383</v>
      </c>
      <c r="H191" s="187" t="s">
        <v>384</v>
      </c>
      <c r="I191" s="187" t="s">
        <v>385</v>
      </c>
      <c r="J191" s="187" t="s">
        <v>386</v>
      </c>
      <c r="K191" s="187" t="s">
        <v>387</v>
      </c>
      <c r="L191" s="187" t="s">
        <v>388</v>
      </c>
      <c r="M191" s="187" t="s">
        <v>389</v>
      </c>
      <c r="N191" s="16"/>
    </row>
    <row r="192">
      <c r="A192" s="2"/>
      <c r="B192" s="92" t="s">
        <v>419</v>
      </c>
      <c r="C192" s="26">
        <v>0.0</v>
      </c>
      <c r="D192" s="26">
        <f t="shared" ref="D192:L192" si="45">C197</f>
        <v>1123538.362</v>
      </c>
      <c r="E192" s="26">
        <f t="shared" si="45"/>
        <v>936281.9685</v>
      </c>
      <c r="F192" s="26">
        <f t="shared" si="45"/>
        <v>749025.5748</v>
      </c>
      <c r="G192" s="26">
        <f t="shared" si="45"/>
        <v>561769.1811</v>
      </c>
      <c r="H192" s="26">
        <f t="shared" si="45"/>
        <v>374512.7874</v>
      </c>
      <c r="I192" s="26">
        <f t="shared" si="45"/>
        <v>187256.3937</v>
      </c>
      <c r="J192" s="26">
        <f t="shared" si="45"/>
        <v>0.0000000001746229827</v>
      </c>
      <c r="K192" s="26">
        <f t="shared" si="45"/>
        <v>0.0000000001746229827</v>
      </c>
      <c r="L192" s="26">
        <f t="shared" si="45"/>
        <v>0.0000000001746229827</v>
      </c>
      <c r="M192" s="26">
        <f>L196</f>
        <v>0</v>
      </c>
      <c r="N192" s="2"/>
    </row>
    <row r="193">
      <c r="A193" s="7"/>
      <c r="B193" s="96" t="s">
        <v>420</v>
      </c>
      <c r="C193" s="20">
        <f>C187</f>
        <v>1123538.362</v>
      </c>
      <c r="D193" s="20">
        <v>0.0</v>
      </c>
      <c r="E193" s="20">
        <v>0.0</v>
      </c>
      <c r="F193" s="20">
        <v>0.0</v>
      </c>
      <c r="G193" s="20">
        <v>0.0</v>
      </c>
      <c r="H193" s="20">
        <v>0.0</v>
      </c>
      <c r="I193" s="20">
        <v>0.0</v>
      </c>
      <c r="J193" s="20">
        <v>0.0</v>
      </c>
      <c r="K193" s="20">
        <v>0.0</v>
      </c>
      <c r="L193" s="20">
        <v>0.0</v>
      </c>
      <c r="M193" s="20">
        <v>0.0</v>
      </c>
      <c r="N193" s="7"/>
    </row>
    <row r="194">
      <c r="A194" s="2"/>
      <c r="B194" s="92" t="s">
        <v>421</v>
      </c>
      <c r="C194" s="26">
        <v>0.0</v>
      </c>
      <c r="D194" s="26">
        <f>IF(1&lt;=C189,C187/C189,0)</f>
        <v>187256.3937</v>
      </c>
      <c r="E194" s="26">
        <f>IF(2&lt;=C189,C187/C189,0)</f>
        <v>187256.3937</v>
      </c>
      <c r="F194" s="26">
        <f>IF(3&lt;=C189,C187/C189,0)</f>
        <v>187256.3937</v>
      </c>
      <c r="G194" s="26">
        <f>IF(4&lt;=C189,C187/C189,0)</f>
        <v>187256.3937</v>
      </c>
      <c r="H194" s="26">
        <f>IF(5&lt;=C189,C187/C189,0)</f>
        <v>187256.3937</v>
      </c>
      <c r="I194" s="26">
        <f>IF(6&lt;=C189,C187/C189,0)</f>
        <v>187256.3937</v>
      </c>
      <c r="J194" s="26">
        <f>IF(7&lt;=C189,C187/C189,0)</f>
        <v>0</v>
      </c>
      <c r="K194" s="26">
        <f>IF(8&lt;=C189,C187/C189,0)</f>
        <v>0</v>
      </c>
      <c r="L194" s="26">
        <f>IF(9&lt;=C189,C187/C189,0)</f>
        <v>0</v>
      </c>
      <c r="M194" s="26">
        <f>IF(10&lt;=C189,C187/C189,0)</f>
        <v>0</v>
      </c>
      <c r="N194" s="2"/>
    </row>
    <row r="195">
      <c r="A195" s="7"/>
      <c r="B195" s="96" t="s">
        <v>422</v>
      </c>
      <c r="C195" s="20">
        <v>0.0</v>
      </c>
      <c r="D195" s="20">
        <f>D192*C188</f>
        <v>151677.6789</v>
      </c>
      <c r="E195" s="20">
        <f>E192*C188</f>
        <v>126398.0657</v>
      </c>
      <c r="F195" s="20">
        <f>F192*C188</f>
        <v>101118.4526</v>
      </c>
      <c r="G195" s="20">
        <f>G192*C188</f>
        <v>75838.83945</v>
      </c>
      <c r="H195" s="20">
        <f>H192*C188</f>
        <v>50559.2263</v>
      </c>
      <c r="I195" s="20">
        <f>I192*C188</f>
        <v>25279.61315</v>
      </c>
      <c r="J195" s="20">
        <f>J192*C188</f>
        <v>0</v>
      </c>
      <c r="K195" s="20">
        <f>K192*C188</f>
        <v>0</v>
      </c>
      <c r="L195" s="20">
        <f>L192*C188</f>
        <v>0</v>
      </c>
      <c r="M195" s="20">
        <f>M192*C188</f>
        <v>0</v>
      </c>
      <c r="N195" s="7"/>
    </row>
    <row r="196">
      <c r="A196" s="2"/>
      <c r="B196" s="152" t="s">
        <v>423</v>
      </c>
      <c r="C196" s="22">
        <v>0.0</v>
      </c>
      <c r="D196" s="22">
        <f t="shared" ref="D196:M196" si="46">D194+D195</f>
        <v>338934.0726</v>
      </c>
      <c r="E196" s="22">
        <f t="shared" si="46"/>
        <v>313654.4594</v>
      </c>
      <c r="F196" s="22">
        <f t="shared" si="46"/>
        <v>288374.8463</v>
      </c>
      <c r="G196" s="22">
        <f t="shared" si="46"/>
        <v>263095.2331</v>
      </c>
      <c r="H196" s="22">
        <f t="shared" si="46"/>
        <v>237815.62</v>
      </c>
      <c r="I196" s="22">
        <f t="shared" si="46"/>
        <v>212536.0068</v>
      </c>
      <c r="J196" s="22">
        <f t="shared" si="46"/>
        <v>0</v>
      </c>
      <c r="K196" s="22">
        <f t="shared" si="46"/>
        <v>0</v>
      </c>
      <c r="L196" s="22">
        <f t="shared" si="46"/>
        <v>0</v>
      </c>
      <c r="M196" s="22">
        <f t="shared" si="46"/>
        <v>0</v>
      </c>
      <c r="N196" s="2"/>
    </row>
    <row r="197">
      <c r="A197" s="7"/>
      <c r="B197" s="96" t="s">
        <v>424</v>
      </c>
      <c r="C197" s="20">
        <f t="shared" ref="C197:M197" si="47">C192+C193-C194</f>
        <v>1123538.362</v>
      </c>
      <c r="D197" s="20">
        <f t="shared" si="47"/>
        <v>936281.9685</v>
      </c>
      <c r="E197" s="20">
        <f t="shared" si="47"/>
        <v>749025.5748</v>
      </c>
      <c r="F197" s="20">
        <f t="shared" si="47"/>
        <v>561769.1811</v>
      </c>
      <c r="G197" s="20">
        <f t="shared" si="47"/>
        <v>374512.7874</v>
      </c>
      <c r="H197" s="20">
        <f t="shared" si="47"/>
        <v>187256.3937</v>
      </c>
      <c r="I197" s="20">
        <f t="shared" si="47"/>
        <v>0.0000000001746229827</v>
      </c>
      <c r="J197" s="20">
        <f t="shared" si="47"/>
        <v>0.0000000001746229827</v>
      </c>
      <c r="K197" s="20">
        <f t="shared" si="47"/>
        <v>0.0000000001746229827</v>
      </c>
      <c r="L197" s="20">
        <f t="shared" si="47"/>
        <v>0.0000000001746229827</v>
      </c>
      <c r="M197" s="20">
        <f t="shared" si="47"/>
        <v>0</v>
      </c>
      <c r="N197" s="7"/>
    </row>
    <row r="198">
      <c r="A198" s="2"/>
      <c r="B198" s="114" t="s">
        <v>562</v>
      </c>
      <c r="C198" s="188" t="s">
        <v>426</v>
      </c>
      <c r="D198" s="42">
        <f t="shared" ref="D198:M198" si="48">IF(D196=0,"-",C139/D196)</f>
        <v>18.94310602</v>
      </c>
      <c r="E198" s="42">
        <f t="shared" si="48"/>
        <v>30.70479574</v>
      </c>
      <c r="F198" s="42">
        <f t="shared" si="48"/>
        <v>44.52859988</v>
      </c>
      <c r="G198" s="42">
        <f t="shared" si="48"/>
        <v>48.80714862</v>
      </c>
      <c r="H198" s="42">
        <f t="shared" si="48"/>
        <v>53.99531009</v>
      </c>
      <c r="I198" s="42">
        <f t="shared" si="48"/>
        <v>60.41765974</v>
      </c>
      <c r="J198" s="42">
        <f t="shared" si="48"/>
        <v>5.44705E+17</v>
      </c>
      <c r="K198" s="42">
        <f t="shared" si="48"/>
        <v>5.44705E+17</v>
      </c>
      <c r="L198" s="42">
        <f t="shared" si="48"/>
        <v>5.44705E+17</v>
      </c>
      <c r="M198" s="42">
        <f t="shared" si="48"/>
        <v>4.03485E+18</v>
      </c>
      <c r="N198" s="2"/>
    </row>
    <row r="199">
      <c r="A199" s="7"/>
      <c r="B199" s="13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</row>
    <row r="200">
      <c r="A200" s="2"/>
      <c r="B200" s="120" t="s">
        <v>563</v>
      </c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5"/>
    </row>
    <row r="201">
      <c r="A201" s="7"/>
      <c r="B201" s="113" t="s">
        <v>430</v>
      </c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5"/>
    </row>
    <row r="202">
      <c r="A202" s="2"/>
      <c r="B202" s="197" t="s">
        <v>340</v>
      </c>
      <c r="C202" s="198" t="s">
        <v>418</v>
      </c>
      <c r="D202" s="198" t="s">
        <v>380</v>
      </c>
      <c r="E202" s="198" t="s">
        <v>381</v>
      </c>
      <c r="F202" s="198" t="s">
        <v>382</v>
      </c>
      <c r="G202" s="198" t="s">
        <v>383</v>
      </c>
      <c r="H202" s="198" t="s">
        <v>384</v>
      </c>
      <c r="I202" s="198" t="s">
        <v>385</v>
      </c>
      <c r="J202" s="198" t="s">
        <v>386</v>
      </c>
      <c r="K202" s="198" t="s">
        <v>387</v>
      </c>
      <c r="L202" s="198" t="s">
        <v>388</v>
      </c>
      <c r="M202" s="198" t="s">
        <v>389</v>
      </c>
      <c r="N202" s="30"/>
    </row>
    <row r="203" ht="18.75" customHeight="1">
      <c r="A203" s="160"/>
      <c r="B203" s="170" t="s">
        <v>393</v>
      </c>
      <c r="C203" s="162">
        <v>0.0</v>
      </c>
      <c r="D203" s="162">
        <f t="shared" ref="D203:M203" si="49">C103</f>
        <v>-2461107.39</v>
      </c>
      <c r="E203" s="162">
        <f t="shared" si="49"/>
        <v>-3691661.085</v>
      </c>
      <c r="F203" s="162">
        <f t="shared" si="49"/>
        <v>-4922214.78</v>
      </c>
      <c r="G203" s="162">
        <f t="shared" si="49"/>
        <v>-4922214.78</v>
      </c>
      <c r="H203" s="162">
        <f t="shared" si="49"/>
        <v>-4922214.78</v>
      </c>
      <c r="I203" s="162">
        <f t="shared" si="49"/>
        <v>-4922214.78</v>
      </c>
      <c r="J203" s="162">
        <f t="shared" si="49"/>
        <v>-4922214.78</v>
      </c>
      <c r="K203" s="162">
        <f t="shared" si="49"/>
        <v>-4922214.78</v>
      </c>
      <c r="L203" s="162">
        <f t="shared" si="49"/>
        <v>-4922214.78</v>
      </c>
      <c r="M203" s="162">
        <f t="shared" si="49"/>
        <v>-4922214.78</v>
      </c>
      <c r="N203" s="160"/>
    </row>
    <row r="204">
      <c r="A204" s="2"/>
      <c r="B204" s="92" t="s">
        <v>431</v>
      </c>
      <c r="C204" s="26">
        <f>-C64</f>
        <v>-1872563.937</v>
      </c>
      <c r="D204" s="26">
        <v>0.0</v>
      </c>
      <c r="E204" s="26">
        <v>0.0</v>
      </c>
      <c r="F204" s="26">
        <v>0.0</v>
      </c>
      <c r="G204" s="26">
        <v>0.0</v>
      </c>
      <c r="H204" s="26">
        <v>0.0</v>
      </c>
      <c r="I204" s="26">
        <v>0.0</v>
      </c>
      <c r="J204" s="26">
        <v>0.0</v>
      </c>
      <c r="K204" s="26">
        <v>0.0</v>
      </c>
      <c r="L204" s="26">
        <v>0.0</v>
      </c>
      <c r="M204" s="26">
        <v>0.0</v>
      </c>
      <c r="N204" s="2"/>
    </row>
    <row r="205">
      <c r="A205" s="7"/>
      <c r="B205" s="96" t="s">
        <v>432</v>
      </c>
      <c r="C205" s="20">
        <v>0.0</v>
      </c>
      <c r="D205" s="20">
        <v>0.0</v>
      </c>
      <c r="E205" s="20">
        <v>0.0</v>
      </c>
      <c r="F205" s="20">
        <v>0.0</v>
      </c>
      <c r="G205" s="20">
        <v>0.0</v>
      </c>
      <c r="H205" s="20">
        <v>0.0</v>
      </c>
      <c r="I205" s="20">
        <v>0.0</v>
      </c>
      <c r="J205" s="20">
        <v>0.0</v>
      </c>
      <c r="K205" s="20">
        <v>0.0</v>
      </c>
      <c r="L205" s="20">
        <v>0.0</v>
      </c>
      <c r="M205" s="20">
        <v>0.0</v>
      </c>
      <c r="N205" s="7"/>
    </row>
    <row r="206">
      <c r="A206" s="2"/>
      <c r="B206" s="92" t="s">
        <v>433</v>
      </c>
      <c r="C206" s="26">
        <f>-C63</f>
        <v>-562563.937</v>
      </c>
      <c r="D206" s="26">
        <v>0.0</v>
      </c>
      <c r="E206" s="26">
        <v>0.0</v>
      </c>
      <c r="F206" s="26">
        <v>0.0</v>
      </c>
      <c r="G206" s="26">
        <v>0.0</v>
      </c>
      <c r="H206" s="26">
        <v>0.0</v>
      </c>
      <c r="I206" s="26">
        <v>0.0</v>
      </c>
      <c r="J206" s="26">
        <v>0.0</v>
      </c>
      <c r="K206" s="26">
        <v>0.0</v>
      </c>
      <c r="L206" s="26">
        <v>0.0</v>
      </c>
      <c r="M206" s="26">
        <v>0.0</v>
      </c>
      <c r="N206" s="2"/>
    </row>
    <row r="207">
      <c r="A207" s="7"/>
      <c r="B207" s="96" t="s">
        <v>434</v>
      </c>
      <c r="C207" s="20">
        <v>0.0</v>
      </c>
      <c r="D207" s="20">
        <f t="shared" ref="D207:M207" si="50">-D168</f>
        <v>-338934.0726</v>
      </c>
      <c r="E207" s="20">
        <f t="shared" si="50"/>
        <v>-313654.4594</v>
      </c>
      <c r="F207" s="20">
        <f t="shared" si="50"/>
        <v>-288374.8463</v>
      </c>
      <c r="G207" s="20">
        <f t="shared" si="50"/>
        <v>-263095.2331</v>
      </c>
      <c r="H207" s="20">
        <f t="shared" si="50"/>
        <v>-237815.62</v>
      </c>
      <c r="I207" s="20">
        <f t="shared" si="50"/>
        <v>-212536.0068</v>
      </c>
      <c r="J207" s="20">
        <f t="shared" si="50"/>
        <v>0</v>
      </c>
      <c r="K207" s="20">
        <f t="shared" si="50"/>
        <v>0</v>
      </c>
      <c r="L207" s="20">
        <f t="shared" si="50"/>
        <v>0</v>
      </c>
      <c r="M207" s="20">
        <f t="shared" si="50"/>
        <v>0</v>
      </c>
      <c r="N207" s="7"/>
    </row>
    <row r="208">
      <c r="A208" s="2"/>
      <c r="B208" s="152" t="s">
        <v>435</v>
      </c>
      <c r="C208" s="22">
        <f t="shared" ref="C208:M208" si="51">C203+C204+C205+C206+C207</f>
        <v>-2435127.874</v>
      </c>
      <c r="D208" s="22">
        <f t="shared" si="51"/>
        <v>-2800041.462</v>
      </c>
      <c r="E208" s="22">
        <f t="shared" si="51"/>
        <v>-4005315.544</v>
      </c>
      <c r="F208" s="22">
        <f t="shared" si="51"/>
        <v>-5210589.626</v>
      </c>
      <c r="G208" s="22">
        <f t="shared" si="51"/>
        <v>-5185310.013</v>
      </c>
      <c r="H208" s="22">
        <f t="shared" si="51"/>
        <v>-5160030.4</v>
      </c>
      <c r="I208" s="22">
        <f t="shared" si="51"/>
        <v>-5134750.787</v>
      </c>
      <c r="J208" s="22">
        <f t="shared" si="51"/>
        <v>-4922214.78</v>
      </c>
      <c r="K208" s="22">
        <f t="shared" si="51"/>
        <v>-4922214.78</v>
      </c>
      <c r="L208" s="22">
        <f t="shared" si="51"/>
        <v>-4922214.78</v>
      </c>
      <c r="M208" s="22">
        <f t="shared" si="51"/>
        <v>-4922214.78</v>
      </c>
      <c r="N208" s="2"/>
    </row>
    <row r="209">
      <c r="A209" s="7"/>
      <c r="B209" s="96" t="s">
        <v>436</v>
      </c>
      <c r="C209" s="20">
        <f>C208</f>
        <v>-2435127.874</v>
      </c>
      <c r="D209" s="20">
        <f t="shared" ref="D209:M209" si="52">C209+D208</f>
        <v>-5235169.336</v>
      </c>
      <c r="E209" s="20">
        <f t="shared" si="52"/>
        <v>-9240484.881</v>
      </c>
      <c r="F209" s="20">
        <f t="shared" si="52"/>
        <v>-14451074.51</v>
      </c>
      <c r="G209" s="20">
        <f t="shared" si="52"/>
        <v>-19636384.52</v>
      </c>
      <c r="H209" s="20">
        <f t="shared" si="52"/>
        <v>-24796414.92</v>
      </c>
      <c r="I209" s="20">
        <f t="shared" si="52"/>
        <v>-29931165.71</v>
      </c>
      <c r="J209" s="20">
        <f t="shared" si="52"/>
        <v>-34853380.49</v>
      </c>
      <c r="K209" s="20">
        <f t="shared" si="52"/>
        <v>-39775595.27</v>
      </c>
      <c r="L209" s="20">
        <f t="shared" si="52"/>
        <v>-44697810.05</v>
      </c>
      <c r="M209" s="20">
        <f t="shared" si="52"/>
        <v>-49620024.82</v>
      </c>
      <c r="N209" s="7"/>
    </row>
    <row r="210">
      <c r="A210" s="2"/>
      <c r="B210" s="11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</row>
    <row r="211">
      <c r="A211" s="7"/>
      <c r="B211" s="113" t="s">
        <v>437</v>
      </c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5"/>
    </row>
    <row r="212">
      <c r="A212" s="2"/>
      <c r="B212" s="197" t="s">
        <v>340</v>
      </c>
      <c r="C212" s="198" t="s">
        <v>418</v>
      </c>
      <c r="D212" s="198" t="s">
        <v>380</v>
      </c>
      <c r="E212" s="198" t="s">
        <v>381</v>
      </c>
      <c r="F212" s="198" t="s">
        <v>382</v>
      </c>
      <c r="G212" s="198" t="s">
        <v>383</v>
      </c>
      <c r="H212" s="198" t="s">
        <v>384</v>
      </c>
      <c r="I212" s="198" t="s">
        <v>385</v>
      </c>
      <c r="J212" s="198" t="s">
        <v>386</v>
      </c>
      <c r="K212" s="198" t="s">
        <v>387</v>
      </c>
      <c r="L212" s="198" t="s">
        <v>388</v>
      </c>
      <c r="M212" s="198" t="s">
        <v>389</v>
      </c>
      <c r="N212" s="30"/>
    </row>
    <row r="213" ht="18.75" customHeight="1">
      <c r="A213" s="160"/>
      <c r="B213" s="170" t="s">
        <v>393</v>
      </c>
      <c r="C213" s="162">
        <v>0.0</v>
      </c>
      <c r="D213" s="162">
        <f t="shared" ref="D213:M213" si="53">C121</f>
        <v>-885372.8401</v>
      </c>
      <c r="E213" s="162">
        <f t="shared" si="53"/>
        <v>-1328059.26</v>
      </c>
      <c r="F213" s="162">
        <f t="shared" si="53"/>
        <v>-1770745.68</v>
      </c>
      <c r="G213" s="162">
        <f t="shared" si="53"/>
        <v>-1770745.68</v>
      </c>
      <c r="H213" s="162">
        <f t="shared" si="53"/>
        <v>-1770745.68</v>
      </c>
      <c r="I213" s="162">
        <f t="shared" si="53"/>
        <v>-1770745.68</v>
      </c>
      <c r="J213" s="162">
        <f t="shared" si="53"/>
        <v>-1770745.68</v>
      </c>
      <c r="K213" s="162">
        <f t="shared" si="53"/>
        <v>-1770745.68</v>
      </c>
      <c r="L213" s="162">
        <f t="shared" si="53"/>
        <v>-1770745.68</v>
      </c>
      <c r="M213" s="162">
        <f t="shared" si="53"/>
        <v>-1770745.68</v>
      </c>
      <c r="N213" s="160"/>
    </row>
    <row r="214">
      <c r="A214" s="2"/>
      <c r="B214" s="92" t="s">
        <v>431</v>
      </c>
      <c r="C214" s="26">
        <f>-C64</f>
        <v>-1872563.937</v>
      </c>
      <c r="D214" s="26">
        <v>0.0</v>
      </c>
      <c r="E214" s="26">
        <v>0.0</v>
      </c>
      <c r="F214" s="26">
        <v>0.0</v>
      </c>
      <c r="G214" s="26">
        <v>0.0</v>
      </c>
      <c r="H214" s="26">
        <v>0.0</v>
      </c>
      <c r="I214" s="26">
        <v>0.0</v>
      </c>
      <c r="J214" s="26">
        <v>0.0</v>
      </c>
      <c r="K214" s="26">
        <v>0.0</v>
      </c>
      <c r="L214" s="26">
        <v>0.0</v>
      </c>
      <c r="M214" s="26">
        <v>0.0</v>
      </c>
      <c r="N214" s="2"/>
    </row>
    <row r="215">
      <c r="A215" s="7"/>
      <c r="B215" s="96" t="s">
        <v>432</v>
      </c>
      <c r="C215" s="20">
        <v>0.0</v>
      </c>
      <c r="D215" s="20">
        <v>0.0</v>
      </c>
      <c r="E215" s="20">
        <v>0.0</v>
      </c>
      <c r="F215" s="20">
        <v>0.0</v>
      </c>
      <c r="G215" s="20">
        <v>0.0</v>
      </c>
      <c r="H215" s="20">
        <v>0.0</v>
      </c>
      <c r="I215" s="20">
        <v>0.0</v>
      </c>
      <c r="J215" s="20">
        <v>0.0</v>
      </c>
      <c r="K215" s="20">
        <v>0.0</v>
      </c>
      <c r="L215" s="20">
        <v>0.0</v>
      </c>
      <c r="M215" s="20">
        <v>0.0</v>
      </c>
      <c r="N215" s="7"/>
    </row>
    <row r="216">
      <c r="A216" s="2"/>
      <c r="B216" s="92" t="s">
        <v>433</v>
      </c>
      <c r="C216" s="26">
        <f>-C63</f>
        <v>-562563.937</v>
      </c>
      <c r="D216" s="26">
        <v>0.0</v>
      </c>
      <c r="E216" s="26">
        <v>0.0</v>
      </c>
      <c r="F216" s="26">
        <v>0.0</v>
      </c>
      <c r="G216" s="26">
        <v>0.0</v>
      </c>
      <c r="H216" s="26">
        <v>0.0</v>
      </c>
      <c r="I216" s="26">
        <v>0.0</v>
      </c>
      <c r="J216" s="26">
        <v>0.0</v>
      </c>
      <c r="K216" s="26">
        <v>0.0</v>
      </c>
      <c r="L216" s="26">
        <v>0.0</v>
      </c>
      <c r="M216" s="26">
        <v>0.0</v>
      </c>
      <c r="N216" s="2"/>
    </row>
    <row r="217">
      <c r="A217" s="7"/>
      <c r="B217" s="96" t="s">
        <v>434</v>
      </c>
      <c r="C217" s="20">
        <v>0.0</v>
      </c>
      <c r="D217" s="20">
        <f t="shared" ref="D217:M217" si="54">-D182</f>
        <v>-338934.0726</v>
      </c>
      <c r="E217" s="20">
        <f t="shared" si="54"/>
        <v>-313654.4594</v>
      </c>
      <c r="F217" s="20">
        <f t="shared" si="54"/>
        <v>-288374.8463</v>
      </c>
      <c r="G217" s="20">
        <f t="shared" si="54"/>
        <v>-263095.2331</v>
      </c>
      <c r="H217" s="20">
        <f t="shared" si="54"/>
        <v>-237815.62</v>
      </c>
      <c r="I217" s="20">
        <f t="shared" si="54"/>
        <v>-212536.0068</v>
      </c>
      <c r="J217" s="20">
        <f t="shared" si="54"/>
        <v>0</v>
      </c>
      <c r="K217" s="20">
        <f t="shared" si="54"/>
        <v>0</v>
      </c>
      <c r="L217" s="20">
        <f t="shared" si="54"/>
        <v>0</v>
      </c>
      <c r="M217" s="20">
        <f t="shared" si="54"/>
        <v>0</v>
      </c>
      <c r="N217" s="7"/>
    </row>
    <row r="218">
      <c r="A218" s="2"/>
      <c r="B218" s="152" t="s">
        <v>435</v>
      </c>
      <c r="C218" s="22">
        <f t="shared" ref="C218:M218" si="55">C213+C214+C215+C216+C217</f>
        <v>-2435127.874</v>
      </c>
      <c r="D218" s="22">
        <f t="shared" si="55"/>
        <v>-1224306.913</v>
      </c>
      <c r="E218" s="22">
        <f t="shared" si="55"/>
        <v>-1641713.72</v>
      </c>
      <c r="F218" s="22">
        <f t="shared" si="55"/>
        <v>-2059120.527</v>
      </c>
      <c r="G218" s="22">
        <f t="shared" si="55"/>
        <v>-2033840.913</v>
      </c>
      <c r="H218" s="22">
        <f t="shared" si="55"/>
        <v>-2008561.3</v>
      </c>
      <c r="I218" s="22">
        <f t="shared" si="55"/>
        <v>-1983281.687</v>
      </c>
      <c r="J218" s="22">
        <f t="shared" si="55"/>
        <v>-1770745.68</v>
      </c>
      <c r="K218" s="22">
        <f t="shared" si="55"/>
        <v>-1770745.68</v>
      </c>
      <c r="L218" s="22">
        <f t="shared" si="55"/>
        <v>-1770745.68</v>
      </c>
      <c r="M218" s="22">
        <f t="shared" si="55"/>
        <v>-1770745.68</v>
      </c>
      <c r="N218" s="2"/>
    </row>
    <row r="219">
      <c r="A219" s="7"/>
      <c r="B219" s="96" t="s">
        <v>436</v>
      </c>
      <c r="C219" s="20">
        <f>C218</f>
        <v>-2435127.874</v>
      </c>
      <c r="D219" s="20">
        <f t="shared" ref="D219:M219" si="56">C219+D218</f>
        <v>-3659434.787</v>
      </c>
      <c r="E219" s="20">
        <f t="shared" si="56"/>
        <v>-5301148.506</v>
      </c>
      <c r="F219" s="20">
        <f t="shared" si="56"/>
        <v>-7360269.033</v>
      </c>
      <c r="G219" s="20">
        <f t="shared" si="56"/>
        <v>-9394109.946</v>
      </c>
      <c r="H219" s="20">
        <f t="shared" si="56"/>
        <v>-11402671.25</v>
      </c>
      <c r="I219" s="20">
        <f t="shared" si="56"/>
        <v>-13385952.93</v>
      </c>
      <c r="J219" s="20">
        <f t="shared" si="56"/>
        <v>-15156698.61</v>
      </c>
      <c r="K219" s="20">
        <f t="shared" si="56"/>
        <v>-16927444.29</v>
      </c>
      <c r="L219" s="20">
        <f t="shared" si="56"/>
        <v>-18698189.97</v>
      </c>
      <c r="M219" s="20">
        <f t="shared" si="56"/>
        <v>-20468935.65</v>
      </c>
      <c r="N219" s="7"/>
    </row>
    <row r="220">
      <c r="A220" s="2"/>
      <c r="B220" s="11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</row>
    <row r="221">
      <c r="A221" s="7"/>
      <c r="B221" s="113" t="s">
        <v>438</v>
      </c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5"/>
    </row>
    <row r="222">
      <c r="A222" s="2"/>
      <c r="B222" s="197" t="s">
        <v>340</v>
      </c>
      <c r="C222" s="198" t="s">
        <v>418</v>
      </c>
      <c r="D222" s="198" t="s">
        <v>380</v>
      </c>
      <c r="E222" s="198" t="s">
        <v>381</v>
      </c>
      <c r="F222" s="198" t="s">
        <v>382</v>
      </c>
      <c r="G222" s="198" t="s">
        <v>383</v>
      </c>
      <c r="H222" s="198" t="s">
        <v>384</v>
      </c>
      <c r="I222" s="198" t="s">
        <v>385</v>
      </c>
      <c r="J222" s="198" t="s">
        <v>386</v>
      </c>
      <c r="K222" s="198" t="s">
        <v>387</v>
      </c>
      <c r="L222" s="198" t="s">
        <v>388</v>
      </c>
      <c r="M222" s="198" t="s">
        <v>389</v>
      </c>
      <c r="N222" s="30"/>
    </row>
    <row r="223" ht="18.75" customHeight="1">
      <c r="A223" s="160"/>
      <c r="B223" s="170" t="s">
        <v>393</v>
      </c>
      <c r="C223" s="162">
        <v>0.0</v>
      </c>
      <c r="D223" s="162">
        <f t="shared" ref="D223:M223" si="57">C139</f>
        <v>6420464.073</v>
      </c>
      <c r="E223" s="162">
        <f t="shared" si="57"/>
        <v>9630696.109</v>
      </c>
      <c r="F223" s="162">
        <f t="shared" si="57"/>
        <v>12840928.15</v>
      </c>
      <c r="G223" s="162">
        <f t="shared" si="57"/>
        <v>12840928.15</v>
      </c>
      <c r="H223" s="162">
        <f t="shared" si="57"/>
        <v>12840928.15</v>
      </c>
      <c r="I223" s="162">
        <f t="shared" si="57"/>
        <v>12840928.15</v>
      </c>
      <c r="J223" s="162">
        <f t="shared" si="57"/>
        <v>12840928.15</v>
      </c>
      <c r="K223" s="162">
        <f t="shared" si="57"/>
        <v>12840928.15</v>
      </c>
      <c r="L223" s="162">
        <f t="shared" si="57"/>
        <v>12840928.15</v>
      </c>
      <c r="M223" s="162">
        <f t="shared" si="57"/>
        <v>12840928.15</v>
      </c>
      <c r="N223" s="160"/>
    </row>
    <row r="224">
      <c r="A224" s="2"/>
      <c r="B224" s="92" t="s">
        <v>431</v>
      </c>
      <c r="C224" s="26">
        <f>-C64</f>
        <v>-1872563.937</v>
      </c>
      <c r="D224" s="26">
        <v>0.0</v>
      </c>
      <c r="E224" s="26">
        <v>0.0</v>
      </c>
      <c r="F224" s="26">
        <v>0.0</v>
      </c>
      <c r="G224" s="26">
        <v>0.0</v>
      </c>
      <c r="H224" s="26">
        <v>0.0</v>
      </c>
      <c r="I224" s="26">
        <v>0.0</v>
      </c>
      <c r="J224" s="26">
        <v>0.0</v>
      </c>
      <c r="K224" s="26">
        <v>0.0</v>
      </c>
      <c r="L224" s="26">
        <v>0.0</v>
      </c>
      <c r="M224" s="26">
        <v>0.0</v>
      </c>
      <c r="N224" s="2"/>
    </row>
    <row r="225">
      <c r="A225" s="7"/>
      <c r="B225" s="96" t="s">
        <v>432</v>
      </c>
      <c r="C225" s="20">
        <v>0.0</v>
      </c>
      <c r="D225" s="20">
        <v>0.0</v>
      </c>
      <c r="E225" s="20">
        <v>0.0</v>
      </c>
      <c r="F225" s="20">
        <v>0.0</v>
      </c>
      <c r="G225" s="20">
        <v>0.0</v>
      </c>
      <c r="H225" s="20">
        <v>0.0</v>
      </c>
      <c r="I225" s="20">
        <v>0.0</v>
      </c>
      <c r="J225" s="20">
        <v>0.0</v>
      </c>
      <c r="K225" s="20">
        <v>0.0</v>
      </c>
      <c r="L225" s="20">
        <v>0.0</v>
      </c>
      <c r="M225" s="20">
        <v>0.0</v>
      </c>
      <c r="N225" s="7"/>
    </row>
    <row r="226">
      <c r="A226" s="2"/>
      <c r="B226" s="92" t="s">
        <v>433</v>
      </c>
      <c r="C226" s="26">
        <f>-C63</f>
        <v>-562563.937</v>
      </c>
      <c r="D226" s="26">
        <v>0.0</v>
      </c>
      <c r="E226" s="26">
        <v>0.0</v>
      </c>
      <c r="F226" s="26">
        <v>0.0</v>
      </c>
      <c r="G226" s="26">
        <v>0.0</v>
      </c>
      <c r="H226" s="26">
        <v>0.0</v>
      </c>
      <c r="I226" s="26">
        <v>0.0</v>
      </c>
      <c r="J226" s="26">
        <v>0.0</v>
      </c>
      <c r="K226" s="26">
        <v>0.0</v>
      </c>
      <c r="L226" s="26">
        <v>0.0</v>
      </c>
      <c r="M226" s="26">
        <v>0.0</v>
      </c>
      <c r="N226" s="2"/>
    </row>
    <row r="227">
      <c r="A227" s="7"/>
      <c r="B227" s="96" t="s">
        <v>434</v>
      </c>
      <c r="C227" s="20">
        <v>0.0</v>
      </c>
      <c r="D227" s="20">
        <f t="shared" ref="D227:M227" si="58">-D196</f>
        <v>-338934.0726</v>
      </c>
      <c r="E227" s="20">
        <f t="shared" si="58"/>
        <v>-313654.4594</v>
      </c>
      <c r="F227" s="20">
        <f t="shared" si="58"/>
        <v>-288374.8463</v>
      </c>
      <c r="G227" s="20">
        <f t="shared" si="58"/>
        <v>-263095.2331</v>
      </c>
      <c r="H227" s="20">
        <f t="shared" si="58"/>
        <v>-237815.62</v>
      </c>
      <c r="I227" s="20">
        <f t="shared" si="58"/>
        <v>-212536.0068</v>
      </c>
      <c r="J227" s="20">
        <f t="shared" si="58"/>
        <v>0</v>
      </c>
      <c r="K227" s="20">
        <f t="shared" si="58"/>
        <v>0</v>
      </c>
      <c r="L227" s="20">
        <f t="shared" si="58"/>
        <v>0</v>
      </c>
      <c r="M227" s="20">
        <f t="shared" si="58"/>
        <v>0</v>
      </c>
      <c r="N227" s="7"/>
    </row>
    <row r="228">
      <c r="A228" s="2"/>
      <c r="B228" s="152" t="s">
        <v>435</v>
      </c>
      <c r="C228" s="22">
        <f t="shared" ref="C228:M228" si="59">C223+C224+C225+C226+C227</f>
        <v>-2435127.874</v>
      </c>
      <c r="D228" s="22">
        <f t="shared" si="59"/>
        <v>6081530</v>
      </c>
      <c r="E228" s="22">
        <f t="shared" si="59"/>
        <v>9317041.649</v>
      </c>
      <c r="F228" s="22">
        <f t="shared" si="59"/>
        <v>12552553.3</v>
      </c>
      <c r="G228" s="22">
        <f t="shared" si="59"/>
        <v>12577832.91</v>
      </c>
      <c r="H228" s="22">
        <f t="shared" si="59"/>
        <v>12603112.53</v>
      </c>
      <c r="I228" s="22">
        <f t="shared" si="59"/>
        <v>12628392.14</v>
      </c>
      <c r="J228" s="22">
        <f t="shared" si="59"/>
        <v>12840928.15</v>
      </c>
      <c r="K228" s="22">
        <f t="shared" si="59"/>
        <v>12840928.15</v>
      </c>
      <c r="L228" s="22">
        <f t="shared" si="59"/>
        <v>12840928.15</v>
      </c>
      <c r="M228" s="22">
        <f t="shared" si="59"/>
        <v>12840928.15</v>
      </c>
      <c r="N228" s="2"/>
    </row>
    <row r="229">
      <c r="A229" s="7"/>
      <c r="B229" s="96" t="s">
        <v>436</v>
      </c>
      <c r="C229" s="20">
        <f>C228</f>
        <v>-2435127.874</v>
      </c>
      <c r="D229" s="20">
        <f t="shared" ref="D229:M229" si="60">C229+D228</f>
        <v>3646402.126</v>
      </c>
      <c r="E229" s="20">
        <f t="shared" si="60"/>
        <v>12963443.78</v>
      </c>
      <c r="F229" s="20">
        <f t="shared" si="60"/>
        <v>25515997.07</v>
      </c>
      <c r="G229" s="20">
        <f t="shared" si="60"/>
        <v>38093829.99</v>
      </c>
      <c r="H229" s="20">
        <f t="shared" si="60"/>
        <v>50696942.51</v>
      </c>
      <c r="I229" s="20">
        <f t="shared" si="60"/>
        <v>63325334.65</v>
      </c>
      <c r="J229" s="20">
        <f t="shared" si="60"/>
        <v>76166262.79</v>
      </c>
      <c r="K229" s="20">
        <f t="shared" si="60"/>
        <v>89007190.94</v>
      </c>
      <c r="L229" s="20">
        <f t="shared" si="60"/>
        <v>101848119.1</v>
      </c>
      <c r="M229" s="20">
        <f t="shared" si="60"/>
        <v>114689047.2</v>
      </c>
      <c r="N229" s="7"/>
    </row>
    <row r="230">
      <c r="A230" s="2"/>
      <c r="B230" s="11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</row>
    <row r="231">
      <c r="A231" s="7"/>
      <c r="B231" s="168" t="s">
        <v>564</v>
      </c>
      <c r="C231" s="4"/>
      <c r="D231" s="4"/>
      <c r="E231" s="4"/>
      <c r="F231" s="4"/>
      <c r="G231" s="4"/>
      <c r="H231" s="5"/>
      <c r="I231" s="182"/>
      <c r="J231" s="182"/>
      <c r="K231" s="182"/>
      <c r="L231" s="182"/>
      <c r="M231" s="182"/>
      <c r="N231" s="182"/>
    </row>
    <row r="232">
      <c r="A232" s="2"/>
      <c r="B232" s="199" t="s">
        <v>440</v>
      </c>
      <c r="C232" s="4"/>
      <c r="D232" s="4"/>
      <c r="E232" s="4"/>
      <c r="F232" s="4"/>
      <c r="G232" s="4"/>
      <c r="H232" s="5"/>
      <c r="I232" s="2"/>
      <c r="J232" s="2"/>
      <c r="K232" s="2"/>
      <c r="L232" s="2"/>
      <c r="M232" s="2"/>
      <c r="N232" s="2"/>
    </row>
    <row r="233">
      <c r="A233" s="7"/>
      <c r="B233" s="193" t="s">
        <v>340</v>
      </c>
      <c r="C233" s="187" t="s">
        <v>418</v>
      </c>
      <c r="D233" s="187" t="s">
        <v>382</v>
      </c>
      <c r="E233" s="187" t="s">
        <v>384</v>
      </c>
      <c r="F233" s="187" t="s">
        <v>389</v>
      </c>
      <c r="G233" s="16"/>
      <c r="H233" s="16"/>
      <c r="I233" s="16"/>
      <c r="J233" s="16"/>
      <c r="K233" s="16"/>
      <c r="L233" s="16"/>
      <c r="M233" s="16"/>
      <c r="N233" s="16"/>
    </row>
    <row r="234">
      <c r="A234" s="2"/>
      <c r="B234" s="152" t="s">
        <v>441</v>
      </c>
      <c r="C234" s="130"/>
      <c r="D234" s="130"/>
      <c r="E234" s="130"/>
      <c r="F234" s="130"/>
      <c r="G234" s="2"/>
      <c r="H234" s="2"/>
      <c r="I234" s="2"/>
      <c r="J234" s="2"/>
      <c r="K234" s="2"/>
      <c r="L234" s="2"/>
      <c r="M234" s="2"/>
      <c r="N234" s="2"/>
    </row>
    <row r="235">
      <c r="A235" s="7"/>
      <c r="B235" s="96" t="s">
        <v>442</v>
      </c>
      <c r="C235" s="20">
        <f>C60+C61</f>
        <v>1255000</v>
      </c>
      <c r="D235" s="20">
        <f>C235-E155*3</f>
        <v>911500</v>
      </c>
      <c r="E235" s="20">
        <f>C235-E155*5</f>
        <v>682500</v>
      </c>
      <c r="F235" s="20">
        <f>MAX(0,C235-E155*10)</f>
        <v>110000</v>
      </c>
      <c r="G235" s="7"/>
      <c r="H235" s="7"/>
      <c r="I235" s="7"/>
      <c r="J235" s="7"/>
      <c r="K235" s="7"/>
      <c r="L235" s="7"/>
      <c r="M235" s="7"/>
      <c r="N235" s="7"/>
    </row>
    <row r="236">
      <c r="A236" s="2"/>
      <c r="B236" s="92" t="s">
        <v>443</v>
      </c>
      <c r="C236" s="26">
        <f>C63</f>
        <v>562563.937</v>
      </c>
      <c r="D236" s="26">
        <f>C63</f>
        <v>562563.937</v>
      </c>
      <c r="E236" s="26">
        <f>C63</f>
        <v>562563.937</v>
      </c>
      <c r="F236" s="26">
        <f>C63</f>
        <v>562563.937</v>
      </c>
      <c r="G236" s="2"/>
      <c r="H236" s="2"/>
      <c r="I236" s="2"/>
      <c r="J236" s="2"/>
      <c r="K236" s="2"/>
      <c r="L236" s="2"/>
      <c r="M236" s="2"/>
      <c r="N236" s="2"/>
    </row>
    <row r="237">
      <c r="A237" s="7"/>
      <c r="B237" s="163" t="s">
        <v>444</v>
      </c>
      <c r="C237" s="34">
        <f t="shared" ref="C237:F237" si="61">C235+C236</f>
        <v>1817563.937</v>
      </c>
      <c r="D237" s="34">
        <f t="shared" si="61"/>
        <v>1474063.937</v>
      </c>
      <c r="E237" s="34">
        <f t="shared" si="61"/>
        <v>1245063.937</v>
      </c>
      <c r="F237" s="34">
        <f t="shared" si="61"/>
        <v>672563.937</v>
      </c>
      <c r="G237" s="7"/>
      <c r="H237" s="7"/>
      <c r="I237" s="7"/>
      <c r="J237" s="7"/>
      <c r="K237" s="7"/>
      <c r="L237" s="7"/>
      <c r="M237" s="7"/>
      <c r="N237" s="7"/>
    </row>
    <row r="238">
      <c r="A238" s="2"/>
      <c r="B238" s="11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</row>
    <row r="239">
      <c r="A239" s="7"/>
      <c r="B239" s="163" t="s">
        <v>445</v>
      </c>
      <c r="C239" s="131"/>
      <c r="D239" s="131"/>
      <c r="E239" s="131"/>
      <c r="F239" s="131"/>
      <c r="G239" s="7"/>
      <c r="H239" s="7"/>
      <c r="I239" s="7"/>
      <c r="J239" s="7"/>
      <c r="K239" s="7"/>
      <c r="L239" s="7"/>
      <c r="M239" s="7"/>
      <c r="N239" s="7"/>
    </row>
    <row r="240">
      <c r="A240" s="2"/>
      <c r="B240" s="92" t="s">
        <v>446</v>
      </c>
      <c r="C240" s="26">
        <f>C169</f>
        <v>1123538.362</v>
      </c>
      <c r="D240" s="26">
        <f>F169</f>
        <v>561769.1811</v>
      </c>
      <c r="E240" s="26">
        <f>H169</f>
        <v>187256.3937</v>
      </c>
      <c r="F240" s="26">
        <f>M169</f>
        <v>0</v>
      </c>
      <c r="G240" s="2"/>
      <c r="H240" s="2"/>
      <c r="I240" s="2"/>
      <c r="J240" s="2"/>
      <c r="K240" s="2"/>
      <c r="L240" s="2"/>
      <c r="M240" s="2"/>
      <c r="N240" s="2"/>
    </row>
    <row r="241">
      <c r="A241" s="7"/>
      <c r="B241" s="96" t="s">
        <v>447</v>
      </c>
      <c r="C241" s="20">
        <f t="shared" ref="C241:F241" si="62">C237-C240</f>
        <v>694025.5748</v>
      </c>
      <c r="D241" s="20">
        <f t="shared" si="62"/>
        <v>912294.7559</v>
      </c>
      <c r="E241" s="20">
        <f t="shared" si="62"/>
        <v>1057807.543</v>
      </c>
      <c r="F241" s="20">
        <f t="shared" si="62"/>
        <v>672563.937</v>
      </c>
      <c r="G241" s="7"/>
      <c r="H241" s="7"/>
      <c r="I241" s="7"/>
      <c r="J241" s="7"/>
      <c r="K241" s="7"/>
      <c r="L241" s="7"/>
      <c r="M241" s="7"/>
      <c r="N241" s="7"/>
    </row>
    <row r="242">
      <c r="A242" s="2"/>
      <c r="B242" s="152" t="s">
        <v>448</v>
      </c>
      <c r="C242" s="22">
        <f t="shared" ref="C242:F242" si="63">C240+C241</f>
        <v>1817563.937</v>
      </c>
      <c r="D242" s="22">
        <f t="shared" si="63"/>
        <v>1474063.937</v>
      </c>
      <c r="E242" s="22">
        <f t="shared" si="63"/>
        <v>1245063.937</v>
      </c>
      <c r="F242" s="22">
        <f t="shared" si="63"/>
        <v>672563.937</v>
      </c>
      <c r="G242" s="2"/>
      <c r="H242" s="2"/>
      <c r="I242" s="2"/>
      <c r="J242" s="2"/>
      <c r="K242" s="2"/>
      <c r="L242" s="2"/>
      <c r="M242" s="2"/>
      <c r="N242" s="2"/>
    </row>
    <row r="243">
      <c r="A243" s="7"/>
      <c r="B243" s="173" t="s">
        <v>449</v>
      </c>
      <c r="C243" s="174" t="str">
        <f t="shared" ref="C243:F243" si="64">IF(ABS(C237-C242)&lt;1,"OK","ERROR")</f>
        <v>OK</v>
      </c>
      <c r="D243" s="174" t="str">
        <f t="shared" si="64"/>
        <v>OK</v>
      </c>
      <c r="E243" s="174" t="str">
        <f t="shared" si="64"/>
        <v>OK</v>
      </c>
      <c r="F243" s="174" t="str">
        <f t="shared" si="64"/>
        <v>OK</v>
      </c>
      <c r="G243" s="7"/>
      <c r="H243" s="7"/>
      <c r="I243" s="7"/>
      <c r="J243" s="7"/>
      <c r="K243" s="7"/>
      <c r="L243" s="7"/>
      <c r="M243" s="7"/>
      <c r="N243" s="7"/>
    </row>
    <row r="244">
      <c r="A244" s="2"/>
      <c r="B244" s="11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</row>
    <row r="245">
      <c r="A245" s="7"/>
      <c r="B245" s="113" t="s">
        <v>450</v>
      </c>
      <c r="C245" s="4"/>
      <c r="D245" s="4"/>
      <c r="E245" s="4"/>
      <c r="F245" s="4"/>
      <c r="G245" s="4"/>
      <c r="H245" s="5"/>
      <c r="I245" s="7"/>
      <c r="J245" s="7"/>
      <c r="K245" s="7"/>
      <c r="L245" s="7"/>
      <c r="M245" s="7"/>
      <c r="N245" s="7"/>
    </row>
    <row r="246">
      <c r="A246" s="2"/>
      <c r="B246" s="197" t="s">
        <v>340</v>
      </c>
      <c r="C246" s="198" t="s">
        <v>418</v>
      </c>
      <c r="D246" s="198" t="s">
        <v>382</v>
      </c>
      <c r="E246" s="198" t="s">
        <v>384</v>
      </c>
      <c r="F246" s="198" t="s">
        <v>389</v>
      </c>
      <c r="G246" s="30"/>
      <c r="H246" s="30"/>
      <c r="I246" s="30"/>
      <c r="J246" s="30"/>
      <c r="K246" s="30"/>
      <c r="L246" s="30"/>
      <c r="M246" s="30"/>
      <c r="N246" s="30"/>
    </row>
    <row r="247">
      <c r="A247" s="7"/>
      <c r="B247" s="163" t="s">
        <v>441</v>
      </c>
      <c r="C247" s="131"/>
      <c r="D247" s="131"/>
      <c r="E247" s="131"/>
      <c r="F247" s="131"/>
      <c r="G247" s="7"/>
      <c r="H247" s="7"/>
      <c r="I247" s="7"/>
      <c r="J247" s="7"/>
      <c r="K247" s="7"/>
      <c r="L247" s="7"/>
      <c r="M247" s="7"/>
      <c r="N247" s="7"/>
    </row>
    <row r="248">
      <c r="A248" s="2"/>
      <c r="B248" s="92" t="s">
        <v>442</v>
      </c>
      <c r="C248" s="26">
        <f>C60+C61</f>
        <v>1255000</v>
      </c>
      <c r="D248" s="26">
        <f>C248-E155*3</f>
        <v>911500</v>
      </c>
      <c r="E248" s="26">
        <f>C248-E155*5</f>
        <v>682500</v>
      </c>
      <c r="F248" s="26">
        <f>MAX(0,C248-E155*10)</f>
        <v>110000</v>
      </c>
      <c r="G248" s="2"/>
      <c r="H248" s="2"/>
      <c r="I248" s="2"/>
      <c r="J248" s="2"/>
      <c r="K248" s="2"/>
      <c r="L248" s="2"/>
      <c r="M248" s="2"/>
      <c r="N248" s="2"/>
    </row>
    <row r="249">
      <c r="A249" s="7"/>
      <c r="B249" s="96" t="s">
        <v>443</v>
      </c>
      <c r="C249" s="20">
        <f>C63</f>
        <v>562563.937</v>
      </c>
      <c r="D249" s="20">
        <f>C63</f>
        <v>562563.937</v>
      </c>
      <c r="E249" s="20">
        <f>C63</f>
        <v>562563.937</v>
      </c>
      <c r="F249" s="20">
        <f>C63</f>
        <v>562563.937</v>
      </c>
      <c r="G249" s="7"/>
      <c r="H249" s="7"/>
      <c r="I249" s="7"/>
      <c r="J249" s="7"/>
      <c r="K249" s="7"/>
      <c r="L249" s="7"/>
      <c r="M249" s="7"/>
      <c r="N249" s="7"/>
    </row>
    <row r="250">
      <c r="A250" s="2"/>
      <c r="B250" s="152" t="s">
        <v>444</v>
      </c>
      <c r="C250" s="22">
        <f t="shared" ref="C250:F250" si="65">C248+C249</f>
        <v>1817563.937</v>
      </c>
      <c r="D250" s="22">
        <f t="shared" si="65"/>
        <v>1474063.937</v>
      </c>
      <c r="E250" s="22">
        <f t="shared" si="65"/>
        <v>1245063.937</v>
      </c>
      <c r="F250" s="22">
        <f t="shared" si="65"/>
        <v>672563.937</v>
      </c>
      <c r="G250" s="2"/>
      <c r="H250" s="2"/>
      <c r="I250" s="2"/>
      <c r="J250" s="2"/>
      <c r="K250" s="2"/>
      <c r="L250" s="2"/>
      <c r="M250" s="2"/>
      <c r="N250" s="2"/>
    </row>
    <row r="251">
      <c r="A251" s="7"/>
      <c r="B251" s="13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</row>
    <row r="252">
      <c r="A252" s="2"/>
      <c r="B252" s="152" t="s">
        <v>445</v>
      </c>
      <c r="C252" s="130"/>
      <c r="D252" s="130"/>
      <c r="E252" s="130"/>
      <c r="F252" s="130"/>
      <c r="G252" s="2"/>
      <c r="H252" s="2"/>
      <c r="I252" s="2"/>
      <c r="J252" s="2"/>
      <c r="K252" s="2"/>
      <c r="L252" s="2"/>
      <c r="M252" s="2"/>
      <c r="N252" s="2"/>
    </row>
    <row r="253">
      <c r="A253" s="7"/>
      <c r="B253" s="96" t="s">
        <v>446</v>
      </c>
      <c r="C253" s="20">
        <f>C183</f>
        <v>1123538.362</v>
      </c>
      <c r="D253" s="20">
        <f>F183</f>
        <v>561769.1811</v>
      </c>
      <c r="E253" s="20">
        <f>H183</f>
        <v>187256.3937</v>
      </c>
      <c r="F253" s="20">
        <f>M183</f>
        <v>0</v>
      </c>
      <c r="G253" s="7"/>
      <c r="H253" s="7"/>
      <c r="I253" s="7"/>
      <c r="J253" s="7"/>
      <c r="K253" s="7"/>
      <c r="L253" s="7"/>
      <c r="M253" s="7"/>
      <c r="N253" s="7"/>
    </row>
    <row r="254">
      <c r="A254" s="2"/>
      <c r="B254" s="92" t="s">
        <v>447</v>
      </c>
      <c r="C254" s="26">
        <f t="shared" ref="C254:F254" si="66">C250-C253</f>
        <v>694025.5748</v>
      </c>
      <c r="D254" s="26">
        <f t="shared" si="66"/>
        <v>912294.7559</v>
      </c>
      <c r="E254" s="26">
        <f t="shared" si="66"/>
        <v>1057807.543</v>
      </c>
      <c r="F254" s="26">
        <f t="shared" si="66"/>
        <v>672563.937</v>
      </c>
      <c r="G254" s="2"/>
      <c r="H254" s="2"/>
      <c r="I254" s="2"/>
      <c r="J254" s="2"/>
      <c r="K254" s="2"/>
      <c r="L254" s="2"/>
      <c r="M254" s="2"/>
      <c r="N254" s="2"/>
    </row>
    <row r="255">
      <c r="A255" s="7"/>
      <c r="B255" s="163" t="s">
        <v>448</v>
      </c>
      <c r="C255" s="34">
        <f t="shared" ref="C255:F255" si="67">C253+C254</f>
        <v>1817563.937</v>
      </c>
      <c r="D255" s="34">
        <f t="shared" si="67"/>
        <v>1474063.937</v>
      </c>
      <c r="E255" s="34">
        <f t="shared" si="67"/>
        <v>1245063.937</v>
      </c>
      <c r="F255" s="34">
        <f t="shared" si="67"/>
        <v>672563.937</v>
      </c>
      <c r="G255" s="7"/>
      <c r="H255" s="7"/>
      <c r="I255" s="7"/>
      <c r="J255" s="7"/>
      <c r="K255" s="7"/>
      <c r="L255" s="7"/>
      <c r="M255" s="7"/>
      <c r="N255" s="7"/>
    </row>
    <row r="256">
      <c r="A256" s="2"/>
      <c r="B256" s="171" t="s">
        <v>449</v>
      </c>
      <c r="C256" s="172" t="str">
        <f t="shared" ref="C256:F256" si="68">IF(ABS(C250-C255)&lt;1,"OK","ERROR")</f>
        <v>OK</v>
      </c>
      <c r="D256" s="172" t="str">
        <f t="shared" si="68"/>
        <v>OK</v>
      </c>
      <c r="E256" s="172" t="str">
        <f t="shared" si="68"/>
        <v>OK</v>
      </c>
      <c r="F256" s="172" t="str">
        <f t="shared" si="68"/>
        <v>OK</v>
      </c>
      <c r="G256" s="2"/>
      <c r="H256" s="2"/>
      <c r="I256" s="2"/>
      <c r="J256" s="2"/>
      <c r="K256" s="2"/>
      <c r="L256" s="2"/>
      <c r="M256" s="2"/>
      <c r="N256" s="2"/>
    </row>
    <row r="257">
      <c r="A257" s="7"/>
      <c r="B257" s="13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</row>
    <row r="258">
      <c r="A258" s="2"/>
      <c r="B258" s="199" t="s">
        <v>451</v>
      </c>
      <c r="C258" s="4"/>
      <c r="D258" s="4"/>
      <c r="E258" s="4"/>
      <c r="F258" s="4"/>
      <c r="G258" s="4"/>
      <c r="H258" s="5"/>
      <c r="I258" s="2"/>
      <c r="J258" s="2"/>
      <c r="K258" s="2"/>
      <c r="L258" s="2"/>
      <c r="M258" s="2"/>
      <c r="N258" s="2"/>
    </row>
    <row r="259">
      <c r="A259" s="7"/>
      <c r="B259" s="193" t="s">
        <v>340</v>
      </c>
      <c r="C259" s="187" t="s">
        <v>418</v>
      </c>
      <c r="D259" s="187" t="s">
        <v>382</v>
      </c>
      <c r="E259" s="187" t="s">
        <v>384</v>
      </c>
      <c r="F259" s="187" t="s">
        <v>389</v>
      </c>
      <c r="G259" s="16"/>
      <c r="H259" s="16"/>
      <c r="I259" s="16"/>
      <c r="J259" s="16"/>
      <c r="K259" s="16"/>
      <c r="L259" s="16"/>
      <c r="M259" s="16"/>
      <c r="N259" s="16"/>
    </row>
    <row r="260">
      <c r="A260" s="2"/>
      <c r="B260" s="152" t="s">
        <v>441</v>
      </c>
      <c r="C260" s="130"/>
      <c r="D260" s="130"/>
      <c r="E260" s="130"/>
      <c r="F260" s="130"/>
      <c r="G260" s="2"/>
      <c r="H260" s="2"/>
      <c r="I260" s="2"/>
      <c r="J260" s="2"/>
      <c r="K260" s="2"/>
      <c r="L260" s="2"/>
      <c r="M260" s="2"/>
      <c r="N260" s="2"/>
    </row>
    <row r="261">
      <c r="A261" s="7"/>
      <c r="B261" s="96" t="s">
        <v>442</v>
      </c>
      <c r="C261" s="20">
        <f>C60+C61</f>
        <v>1255000</v>
      </c>
      <c r="D261" s="20">
        <f>C261-E155*3</f>
        <v>911500</v>
      </c>
      <c r="E261" s="20">
        <f>C261-E155*5</f>
        <v>682500</v>
      </c>
      <c r="F261" s="20">
        <f>MAX(0,C261-E155*10)</f>
        <v>110000</v>
      </c>
      <c r="G261" s="7"/>
      <c r="H261" s="7"/>
      <c r="I261" s="7"/>
      <c r="J261" s="7"/>
      <c r="K261" s="7"/>
      <c r="L261" s="7"/>
      <c r="M261" s="7"/>
      <c r="N261" s="7"/>
    </row>
    <row r="262">
      <c r="A262" s="2"/>
      <c r="B262" s="92" t="s">
        <v>443</v>
      </c>
      <c r="C262" s="26">
        <f>C63</f>
        <v>562563.937</v>
      </c>
      <c r="D262" s="26">
        <f>C63</f>
        <v>562563.937</v>
      </c>
      <c r="E262" s="26">
        <f>C63</f>
        <v>562563.937</v>
      </c>
      <c r="F262" s="26">
        <f>C63</f>
        <v>562563.937</v>
      </c>
      <c r="G262" s="2"/>
      <c r="H262" s="2"/>
      <c r="I262" s="2"/>
      <c r="J262" s="2"/>
      <c r="K262" s="2"/>
      <c r="L262" s="2"/>
      <c r="M262" s="2"/>
      <c r="N262" s="2"/>
    </row>
    <row r="263">
      <c r="A263" s="7"/>
      <c r="B263" s="163" t="s">
        <v>444</v>
      </c>
      <c r="C263" s="34">
        <f t="shared" ref="C263:F263" si="69">C261+C262</f>
        <v>1817563.937</v>
      </c>
      <c r="D263" s="34">
        <f t="shared" si="69"/>
        <v>1474063.937</v>
      </c>
      <c r="E263" s="34">
        <f t="shared" si="69"/>
        <v>1245063.937</v>
      </c>
      <c r="F263" s="34">
        <f t="shared" si="69"/>
        <v>672563.937</v>
      </c>
      <c r="G263" s="7"/>
      <c r="H263" s="7"/>
      <c r="I263" s="7"/>
      <c r="J263" s="7"/>
      <c r="K263" s="7"/>
      <c r="L263" s="7"/>
      <c r="M263" s="7"/>
      <c r="N263" s="7"/>
    </row>
    <row r="264">
      <c r="A264" s="2"/>
      <c r="B264" s="11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</row>
    <row r="265">
      <c r="A265" s="7"/>
      <c r="B265" s="163" t="s">
        <v>445</v>
      </c>
      <c r="C265" s="131"/>
      <c r="D265" s="131"/>
      <c r="E265" s="131"/>
      <c r="F265" s="131"/>
      <c r="G265" s="7"/>
      <c r="H265" s="7"/>
      <c r="I265" s="7"/>
      <c r="J265" s="7"/>
      <c r="K265" s="7"/>
      <c r="L265" s="7"/>
      <c r="M265" s="7"/>
      <c r="N265" s="7"/>
    </row>
    <row r="266">
      <c r="A266" s="2"/>
      <c r="B266" s="92" t="s">
        <v>446</v>
      </c>
      <c r="C266" s="26">
        <f>C197</f>
        <v>1123538.362</v>
      </c>
      <c r="D266" s="26">
        <f>F197</f>
        <v>561769.1811</v>
      </c>
      <c r="E266" s="26">
        <f>H197</f>
        <v>187256.3937</v>
      </c>
      <c r="F266" s="26">
        <f>M197</f>
        <v>0</v>
      </c>
      <c r="G266" s="2"/>
      <c r="H266" s="2"/>
      <c r="I266" s="2"/>
      <c r="J266" s="2"/>
      <c r="K266" s="2"/>
      <c r="L266" s="2"/>
      <c r="M266" s="2"/>
      <c r="N266" s="2"/>
    </row>
    <row r="267">
      <c r="A267" s="7"/>
      <c r="B267" s="96" t="s">
        <v>447</v>
      </c>
      <c r="C267" s="20">
        <f t="shared" ref="C267:F267" si="70">C263-C266</f>
        <v>694025.5748</v>
      </c>
      <c r="D267" s="20">
        <f t="shared" si="70"/>
        <v>912294.7559</v>
      </c>
      <c r="E267" s="20">
        <f t="shared" si="70"/>
        <v>1057807.543</v>
      </c>
      <c r="F267" s="20">
        <f t="shared" si="70"/>
        <v>672563.937</v>
      </c>
      <c r="G267" s="7"/>
      <c r="H267" s="7"/>
      <c r="I267" s="7"/>
      <c r="J267" s="7"/>
      <c r="K267" s="7"/>
      <c r="L267" s="7"/>
      <c r="M267" s="7"/>
      <c r="N267" s="7"/>
    </row>
    <row r="268">
      <c r="A268" s="2"/>
      <c r="B268" s="152" t="s">
        <v>448</v>
      </c>
      <c r="C268" s="22">
        <f t="shared" ref="C268:F268" si="71">C266+C267</f>
        <v>1817563.937</v>
      </c>
      <c r="D268" s="22">
        <f t="shared" si="71"/>
        <v>1474063.937</v>
      </c>
      <c r="E268" s="22">
        <f t="shared" si="71"/>
        <v>1245063.937</v>
      </c>
      <c r="F268" s="22">
        <f t="shared" si="71"/>
        <v>672563.937</v>
      </c>
      <c r="G268" s="2"/>
      <c r="H268" s="2"/>
      <c r="I268" s="2"/>
      <c r="J268" s="2"/>
      <c r="K268" s="2"/>
      <c r="L268" s="2"/>
      <c r="M268" s="2"/>
      <c r="N268" s="2"/>
    </row>
    <row r="269">
      <c r="A269" s="7"/>
      <c r="B269" s="173" t="s">
        <v>449</v>
      </c>
      <c r="C269" s="174" t="str">
        <f t="shared" ref="C269:F269" si="72">IF(ABS(C263-C268)&lt;1,"OK","ERROR")</f>
        <v>OK</v>
      </c>
      <c r="D269" s="174" t="str">
        <f t="shared" si="72"/>
        <v>OK</v>
      </c>
      <c r="E269" s="174" t="str">
        <f t="shared" si="72"/>
        <v>OK</v>
      </c>
      <c r="F269" s="174" t="str">
        <f t="shared" si="72"/>
        <v>OK</v>
      </c>
      <c r="G269" s="7"/>
      <c r="H269" s="7"/>
      <c r="I269" s="7"/>
      <c r="J269" s="7"/>
      <c r="K269" s="7"/>
      <c r="L269" s="7"/>
      <c r="M269" s="7"/>
      <c r="N269" s="7"/>
    </row>
    <row r="270">
      <c r="A270" s="2"/>
      <c r="B270" s="11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</row>
    <row r="271">
      <c r="A271" s="7"/>
      <c r="B271" s="168" t="s">
        <v>565</v>
      </c>
      <c r="C271" s="4"/>
      <c r="D271" s="4"/>
      <c r="E271" s="4"/>
      <c r="F271" s="5"/>
      <c r="G271" s="182"/>
      <c r="H271" s="182"/>
      <c r="I271" s="182"/>
      <c r="J271" s="182"/>
      <c r="K271" s="182"/>
      <c r="L271" s="182"/>
      <c r="M271" s="182"/>
      <c r="N271" s="182"/>
    </row>
    <row r="272">
      <c r="A272" s="2"/>
      <c r="B272" s="197" t="s">
        <v>453</v>
      </c>
      <c r="C272" s="198" t="s">
        <v>349</v>
      </c>
      <c r="D272" s="198" t="s">
        <v>365</v>
      </c>
      <c r="E272" s="198" t="s">
        <v>350</v>
      </c>
      <c r="F272" s="2"/>
      <c r="G272" s="2"/>
      <c r="H272" s="2"/>
      <c r="I272" s="2"/>
      <c r="J272" s="2"/>
      <c r="K272" s="2"/>
      <c r="L272" s="2"/>
      <c r="M272" s="2"/>
      <c r="N272" s="2"/>
    </row>
    <row r="273">
      <c r="A273" s="7"/>
      <c r="B273" s="96" t="s">
        <v>18</v>
      </c>
      <c r="C273" s="20">
        <f t="array" ref="C273">C208+NPV(C14,D208:M208)</f>
        <v>-21126675.31</v>
      </c>
      <c r="D273" s="20">
        <f t="array" ref="D273">C218+NPV(C14,D218:M218)</f>
        <v>-9774471.264</v>
      </c>
      <c r="E273" s="20">
        <f t="array" ref="E273">C228+NPV(C14,D228:M228)</f>
        <v>42859617.02</v>
      </c>
      <c r="F273" s="7"/>
      <c r="G273" s="7"/>
      <c r="H273" s="7"/>
      <c r="I273" s="7"/>
      <c r="J273" s="7"/>
      <c r="K273" s="7"/>
      <c r="L273" s="7"/>
      <c r="M273" s="7"/>
      <c r="N273" s="7"/>
    </row>
    <row r="274">
      <c r="A274" s="2"/>
      <c r="B274" s="92" t="s">
        <v>19</v>
      </c>
      <c r="C274" s="36" t="str">
        <f>IFERROR(IRR(C208:M208,0.2),"-")</f>
        <v>-</v>
      </c>
      <c r="D274" s="36" t="str">
        <f>IFERROR(IRR(C218:M218,0.2),"-")</f>
        <v>-</v>
      </c>
      <c r="E274" s="36">
        <f>IFERROR(IRR(C228:M228,0.2),"-")</f>
        <v>2.922722998</v>
      </c>
      <c r="F274" s="2"/>
      <c r="G274" s="2"/>
      <c r="H274" s="2"/>
      <c r="I274" s="2"/>
      <c r="J274" s="2"/>
      <c r="K274" s="2"/>
      <c r="L274" s="2"/>
      <c r="M274" s="2"/>
      <c r="N274" s="2"/>
    </row>
    <row r="275">
      <c r="A275" s="7"/>
      <c r="B275" s="96" t="s">
        <v>20</v>
      </c>
      <c r="C275" s="24" t="str">
        <f>IFERROR(IRR(C208:M208,0.2),"-")</f>
        <v>-</v>
      </c>
      <c r="D275" s="24" t="str">
        <f>IFERROR(IRR(C218:M218,0.2),"-")</f>
        <v>-</v>
      </c>
      <c r="E275" s="24">
        <f>IFERROR(IRR(C228:M228,0.2),"-")</f>
        <v>2.922722998</v>
      </c>
      <c r="F275" s="7"/>
      <c r="G275" s="7"/>
      <c r="H275" s="7"/>
      <c r="I275" s="7"/>
      <c r="J275" s="7"/>
      <c r="K275" s="7"/>
      <c r="L275" s="7"/>
      <c r="M275" s="7"/>
      <c r="N275" s="7"/>
    </row>
    <row r="276">
      <c r="A276" s="2"/>
      <c r="B276" s="92" t="s">
        <v>21</v>
      </c>
      <c r="C276" s="40">
        <f>IF(D208&gt;0,-C208/(D208/12),999)</f>
        <v>999</v>
      </c>
      <c r="D276" s="40">
        <f>IF(D218&gt;0,-C218/(D218/12),999)</f>
        <v>999</v>
      </c>
      <c r="E276" s="40">
        <f>IF(D228&gt;0,-C228/(D228/12),999)</f>
        <v>4.804964292</v>
      </c>
      <c r="F276" s="2"/>
      <c r="G276" s="2"/>
      <c r="H276" s="2"/>
      <c r="I276" s="2"/>
      <c r="J276" s="2"/>
      <c r="K276" s="2"/>
      <c r="L276" s="2"/>
      <c r="M276" s="2"/>
      <c r="N276" s="2"/>
    </row>
    <row r="277">
      <c r="A277" s="7"/>
      <c r="B277" s="96" t="s">
        <v>22</v>
      </c>
      <c r="C277" s="41">
        <f t="shared" ref="C277:E277" si="73">C276*1.15</f>
        <v>1148.85</v>
      </c>
      <c r="D277" s="41">
        <f t="shared" si="73"/>
        <v>1148.85</v>
      </c>
      <c r="E277" s="41">
        <f t="shared" si="73"/>
        <v>5.525708935</v>
      </c>
      <c r="F277" s="7"/>
      <c r="G277" s="7"/>
      <c r="H277" s="7"/>
      <c r="I277" s="7"/>
      <c r="J277" s="7"/>
      <c r="K277" s="7"/>
      <c r="L277" s="7"/>
      <c r="M277" s="7"/>
      <c r="N277" s="7"/>
    </row>
    <row r="278">
      <c r="A278" s="2"/>
      <c r="B278" s="92" t="s">
        <v>23</v>
      </c>
      <c r="C278" s="42">
        <f>IF(-C208&gt;0,SUM(D208:M208)/-C208,0)</f>
        <v>-19.37676352</v>
      </c>
      <c r="D278" s="42">
        <f>IF(-C218&gt;0,SUM(D218:M218)/-C218,0)</f>
        <v>-7.405692314</v>
      </c>
      <c r="E278" s="42">
        <f>IF(-C228&gt;0,SUM(D228:M228)/-C228,0)</f>
        <v>48.0977514</v>
      </c>
      <c r="F278" s="2"/>
      <c r="G278" s="2"/>
      <c r="H278" s="2"/>
      <c r="I278" s="2"/>
      <c r="J278" s="2"/>
      <c r="K278" s="2"/>
      <c r="L278" s="2"/>
      <c r="M278" s="2"/>
      <c r="N278" s="2"/>
    </row>
    <row r="279">
      <c r="A279" s="7"/>
      <c r="B279" s="96" t="s">
        <v>16</v>
      </c>
      <c r="C279" s="20">
        <f t="shared" ref="C279:C280" si="74">E103</f>
        <v>-4922214.78</v>
      </c>
      <c r="D279" s="20">
        <f t="shared" ref="D279:D280" si="75">E121</f>
        <v>-1770745.68</v>
      </c>
      <c r="E279" s="20">
        <f t="shared" ref="E279:E280" si="76">E139</f>
        <v>12840928.15</v>
      </c>
      <c r="F279" s="7"/>
      <c r="G279" s="7"/>
      <c r="H279" s="7"/>
      <c r="I279" s="7"/>
      <c r="J279" s="7"/>
      <c r="K279" s="7"/>
      <c r="L279" s="7"/>
      <c r="M279" s="7"/>
      <c r="N279" s="7"/>
    </row>
    <row r="280">
      <c r="A280" s="2"/>
      <c r="B280" s="92" t="s">
        <v>17</v>
      </c>
      <c r="C280" s="36">
        <f t="shared" si="74"/>
        <v>-0.5965649291</v>
      </c>
      <c r="D280" s="36">
        <f t="shared" si="75"/>
        <v>-0.1552959026</v>
      </c>
      <c r="E280" s="36">
        <f t="shared" si="76"/>
        <v>0.4936146967</v>
      </c>
      <c r="F280" s="2"/>
      <c r="G280" s="2"/>
      <c r="H280" s="2"/>
      <c r="I280" s="2"/>
      <c r="J280" s="2"/>
      <c r="K280" s="2"/>
      <c r="L280" s="2"/>
      <c r="M280" s="2"/>
      <c r="N280" s="2"/>
    </row>
    <row r="281">
      <c r="A281" s="7"/>
      <c r="B281" s="96" t="s">
        <v>25</v>
      </c>
      <c r="C281" s="45">
        <f>IF(D168&gt;0,C103/D168,"-")</f>
        <v>-7.261315957</v>
      </c>
      <c r="D281" s="45">
        <f>IF(D182&gt;0,C121/D182,"-")</f>
        <v>-2.612227308</v>
      </c>
      <c r="E281" s="45">
        <f>IF(D196&gt;0,C139/D196,"-")</f>
        <v>18.94310602</v>
      </c>
      <c r="F281" s="7"/>
      <c r="G281" s="7"/>
      <c r="H281" s="7"/>
      <c r="I281" s="7"/>
      <c r="J281" s="7"/>
      <c r="K281" s="7"/>
      <c r="L281" s="7"/>
      <c r="M281" s="7"/>
      <c r="N281" s="7"/>
    </row>
    <row r="282">
      <c r="A282" s="2"/>
      <c r="B282" s="92" t="s">
        <v>26</v>
      </c>
      <c r="C282" s="44">
        <f>IF(D93&gt;0,C79/(D93/(C34*1000))*1/C10,0)</f>
        <v>57936.14815</v>
      </c>
      <c r="D282" s="44">
        <f>IF(E93&gt;0,C79/(E93/(C34*1000))*1/C10,0)</f>
        <v>41923.37771</v>
      </c>
      <c r="E282" s="44">
        <f>IF(F93&gt;0,C79/(F93/(C34*1000))*1/C10,0)</f>
        <v>18375.70989</v>
      </c>
      <c r="F282" s="2"/>
      <c r="G282" s="2"/>
      <c r="H282" s="2"/>
      <c r="I282" s="2"/>
      <c r="J282" s="2"/>
      <c r="K282" s="2"/>
      <c r="L282" s="2"/>
      <c r="M282" s="2"/>
      <c r="N282" s="2"/>
    </row>
    <row r="283">
      <c r="A283" s="7"/>
      <c r="B283" s="96" t="s">
        <v>454</v>
      </c>
      <c r="C283" s="45">
        <f>IF(C79&gt;0,D93/C79,0)</f>
        <v>0.6263447116</v>
      </c>
      <c r="D283" s="45">
        <f>IF(C79&gt;0,E93/C79,0)</f>
        <v>0.8655791107</v>
      </c>
      <c r="E283" s="45">
        <f>IF(C79&gt;0,F93/C79,0)</f>
        <v>1.974780851</v>
      </c>
      <c r="F283" s="7"/>
      <c r="G283" s="7"/>
      <c r="H283" s="7"/>
      <c r="I283" s="7"/>
      <c r="J283" s="7"/>
      <c r="K283" s="7"/>
      <c r="L283" s="7"/>
      <c r="M283" s="7"/>
      <c r="N283" s="7"/>
    </row>
    <row r="284">
      <c r="A284" s="2"/>
      <c r="B284" s="92" t="s">
        <v>455</v>
      </c>
      <c r="C284" s="26">
        <f>L103*C28</f>
        <v>-24611073.9</v>
      </c>
      <c r="D284" s="26">
        <f>L121*C28</f>
        <v>-8853728.401</v>
      </c>
      <c r="E284" s="26">
        <f>L139*C28</f>
        <v>64204640.73</v>
      </c>
      <c r="F284" s="2"/>
      <c r="G284" s="2"/>
      <c r="H284" s="2"/>
      <c r="I284" s="2"/>
      <c r="J284" s="2"/>
      <c r="K284" s="2"/>
      <c r="L284" s="2"/>
      <c r="M284" s="2"/>
      <c r="N284" s="2"/>
    </row>
    <row r="285">
      <c r="A285" s="7"/>
      <c r="B285" s="96" t="s">
        <v>14</v>
      </c>
      <c r="C285" s="20">
        <f>C101/12</f>
        <v>343788.7018</v>
      </c>
      <c r="D285" s="20">
        <f>C119/12</f>
        <v>475099.9142</v>
      </c>
      <c r="E285" s="20">
        <f>C137/12</f>
        <v>1083919.657</v>
      </c>
      <c r="F285" s="7"/>
      <c r="G285" s="7"/>
      <c r="H285" s="7"/>
      <c r="I285" s="7"/>
      <c r="J285" s="7"/>
      <c r="K285" s="7"/>
      <c r="L285" s="7"/>
      <c r="M285" s="7"/>
      <c r="N285" s="7"/>
    </row>
    <row r="286">
      <c r="A286" s="2"/>
      <c r="B286" s="92" t="s">
        <v>15</v>
      </c>
      <c r="C286" s="26">
        <f>E101/12</f>
        <v>687577.4035</v>
      </c>
      <c r="D286" s="26">
        <f>E119/12</f>
        <v>950199.8285</v>
      </c>
      <c r="E286" s="26">
        <f>E137/12</f>
        <v>2167839.314</v>
      </c>
      <c r="F286" s="2"/>
      <c r="G286" s="2"/>
      <c r="H286" s="2"/>
      <c r="I286" s="2"/>
      <c r="J286" s="2"/>
      <c r="K286" s="2"/>
      <c r="L286" s="2"/>
      <c r="M286" s="2"/>
      <c r="N286" s="2"/>
    </row>
    <row r="287">
      <c r="A287" s="7"/>
      <c r="B287" s="96" t="s">
        <v>12</v>
      </c>
      <c r="C287" s="20">
        <f>C64*(1-C29)</f>
        <v>749025.5748</v>
      </c>
      <c r="D287" s="20">
        <f>C64*(1-C29)</f>
        <v>749025.5748</v>
      </c>
      <c r="E287" s="20">
        <f>C64*(1-C29)</f>
        <v>749025.5748</v>
      </c>
      <c r="F287" s="7"/>
      <c r="G287" s="7"/>
      <c r="H287" s="7"/>
      <c r="I287" s="7"/>
      <c r="J287" s="7"/>
      <c r="K287" s="7"/>
      <c r="L287" s="7"/>
      <c r="M287" s="7"/>
      <c r="N287" s="7"/>
    </row>
    <row r="288">
      <c r="A288" s="2"/>
      <c r="B288" s="11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</row>
    <row r="289">
      <c r="A289" s="7"/>
      <c r="B289" s="168" t="s">
        <v>566</v>
      </c>
      <c r="C289" s="4"/>
      <c r="D289" s="4"/>
      <c r="E289" s="4"/>
      <c r="F289" s="4"/>
      <c r="G289" s="4"/>
      <c r="H289" s="5"/>
      <c r="I289" s="182"/>
      <c r="J289" s="182"/>
      <c r="K289" s="182"/>
      <c r="L289" s="182"/>
      <c r="M289" s="182"/>
      <c r="N289" s="182"/>
    </row>
    <row r="290">
      <c r="A290" s="2"/>
      <c r="B290" s="199" t="s">
        <v>457</v>
      </c>
      <c r="C290" s="4"/>
      <c r="D290" s="4"/>
      <c r="E290" s="4"/>
      <c r="F290" s="4"/>
      <c r="G290" s="4"/>
      <c r="H290" s="5"/>
      <c r="I290" s="2"/>
      <c r="J290" s="2"/>
      <c r="K290" s="2"/>
      <c r="L290" s="2"/>
      <c r="M290" s="2"/>
      <c r="N290" s="2"/>
    </row>
    <row r="291">
      <c r="A291" s="7"/>
      <c r="B291" s="193" t="s">
        <v>458</v>
      </c>
      <c r="C291" s="187" t="s">
        <v>349</v>
      </c>
      <c r="D291" s="187" t="s">
        <v>365</v>
      </c>
      <c r="E291" s="187" t="s">
        <v>350</v>
      </c>
      <c r="F291" s="7"/>
      <c r="G291" s="7"/>
      <c r="H291" s="7"/>
      <c r="I291" s="7"/>
      <c r="J291" s="7"/>
      <c r="K291" s="7"/>
      <c r="L291" s="7"/>
      <c r="M291" s="7"/>
      <c r="N291" s="7"/>
    </row>
    <row r="292">
      <c r="A292" s="2"/>
      <c r="B292" s="92" t="s">
        <v>459</v>
      </c>
      <c r="C292" s="26">
        <f>D93*(1+-0.2)-C79</f>
        <v>-547700.0457</v>
      </c>
      <c r="D292" s="26">
        <f>E93*(1+-0.2)-C79</f>
        <v>-337602.1057</v>
      </c>
      <c r="E292" s="26">
        <f>F93*(1+-0.2)-C79</f>
        <v>636509.4826</v>
      </c>
      <c r="F292" s="2"/>
      <c r="G292" s="2"/>
      <c r="H292" s="2"/>
      <c r="I292" s="2"/>
      <c r="J292" s="2"/>
      <c r="K292" s="2"/>
      <c r="L292" s="2"/>
      <c r="M292" s="2"/>
      <c r="N292" s="2"/>
    </row>
    <row r="293">
      <c r="A293" s="7"/>
      <c r="B293" s="96" t="s">
        <v>460</v>
      </c>
      <c r="C293" s="20">
        <f>D93*(1+-0.1)-C79</f>
        <v>-478942.3053</v>
      </c>
      <c r="D293" s="20">
        <f>E93*(1+-0.1)-C79</f>
        <v>-242582.1229</v>
      </c>
      <c r="E293" s="20">
        <f>F93*(1+-0.1)-C79</f>
        <v>853293.414</v>
      </c>
      <c r="F293" s="7"/>
      <c r="G293" s="7"/>
      <c r="H293" s="7"/>
      <c r="I293" s="7"/>
      <c r="J293" s="7"/>
      <c r="K293" s="7"/>
      <c r="L293" s="7"/>
      <c r="M293" s="7"/>
      <c r="N293" s="7"/>
    </row>
    <row r="294">
      <c r="A294" s="2"/>
      <c r="B294" s="92" t="s">
        <v>461</v>
      </c>
      <c r="C294" s="26">
        <f>D93*(1+0)-C79</f>
        <v>-410184.565</v>
      </c>
      <c r="D294" s="26">
        <f>E93*(1+0)-C79</f>
        <v>-147562.14</v>
      </c>
      <c r="E294" s="26">
        <f>F93*(1+0)-C79</f>
        <v>1070077.345</v>
      </c>
      <c r="F294" s="2"/>
      <c r="G294" s="2"/>
      <c r="H294" s="2"/>
      <c r="I294" s="2"/>
      <c r="J294" s="2"/>
      <c r="K294" s="2"/>
      <c r="L294" s="2"/>
      <c r="M294" s="2"/>
      <c r="N294" s="2"/>
    </row>
    <row r="295">
      <c r="A295" s="7"/>
      <c r="B295" s="96" t="s">
        <v>462</v>
      </c>
      <c r="C295" s="20">
        <f>D93*(1+0.1)-C79</f>
        <v>-341426.8246</v>
      </c>
      <c r="D295" s="20">
        <f>E93*(1+0.1)-C79</f>
        <v>-52542.15717</v>
      </c>
      <c r="E295" s="20">
        <f>F93*(1+0.1)-C79</f>
        <v>1286861.277</v>
      </c>
      <c r="F295" s="7"/>
      <c r="G295" s="7"/>
      <c r="H295" s="7"/>
      <c r="I295" s="7"/>
      <c r="J295" s="7"/>
      <c r="K295" s="7"/>
      <c r="L295" s="7"/>
      <c r="M295" s="7"/>
      <c r="N295" s="7"/>
    </row>
    <row r="296">
      <c r="A296" s="2"/>
      <c r="B296" s="92" t="s">
        <v>463</v>
      </c>
      <c r="C296" s="26">
        <f>D93*(1+0.2)-C79</f>
        <v>-272669.0843</v>
      </c>
      <c r="D296" s="26">
        <f>E93*(1+0.2)-C79</f>
        <v>42477.82568</v>
      </c>
      <c r="E296" s="26">
        <f>F93*(1+0.2)-C79</f>
        <v>1503645.208</v>
      </c>
      <c r="F296" s="2"/>
      <c r="G296" s="2"/>
      <c r="H296" s="2"/>
      <c r="I296" s="2"/>
      <c r="J296" s="2"/>
      <c r="K296" s="2"/>
      <c r="L296" s="2"/>
      <c r="M296" s="2"/>
      <c r="N296" s="2"/>
    </row>
    <row r="297">
      <c r="A297" s="7"/>
      <c r="B297" s="13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</row>
    <row r="298">
      <c r="A298" s="2"/>
      <c r="B298" s="152" t="s">
        <v>464</v>
      </c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</row>
    <row r="299">
      <c r="A299" s="7"/>
      <c r="B299" s="96" t="s">
        <v>465</v>
      </c>
      <c r="C299" s="20">
        <f>D93*0.5-C79</f>
        <v>-753973.2667</v>
      </c>
      <c r="D299" s="20">
        <f>E93*0.5-C79</f>
        <v>-622662.0543</v>
      </c>
      <c r="E299" s="20">
        <f>F93*0.5-C79</f>
        <v>-13842.31154</v>
      </c>
      <c r="F299" s="7"/>
      <c r="G299" s="7"/>
      <c r="H299" s="7"/>
      <c r="I299" s="7"/>
      <c r="J299" s="7"/>
      <c r="K299" s="7"/>
      <c r="L299" s="7"/>
      <c r="M299" s="7"/>
      <c r="N299" s="7"/>
    </row>
    <row r="300">
      <c r="A300" s="2"/>
      <c r="B300" s="11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</row>
    <row r="301">
      <c r="A301" s="7"/>
      <c r="B301" s="149" t="s">
        <v>567</v>
      </c>
      <c r="K301" s="7"/>
      <c r="L301" s="7"/>
      <c r="M301" s="7"/>
      <c r="N301" s="7"/>
    </row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29">
    <mergeCell ref="B2:F2"/>
    <mergeCell ref="B33:F33"/>
    <mergeCell ref="B49:N49"/>
    <mergeCell ref="B58:F58"/>
    <mergeCell ref="B66:F66"/>
    <mergeCell ref="B80:H80"/>
    <mergeCell ref="B82:H82"/>
    <mergeCell ref="B94:H94"/>
    <mergeCell ref="B96:N96"/>
    <mergeCell ref="B97:N97"/>
    <mergeCell ref="B115:N115"/>
    <mergeCell ref="B133:N133"/>
    <mergeCell ref="B151:H151"/>
    <mergeCell ref="B157:N157"/>
    <mergeCell ref="B231:H231"/>
    <mergeCell ref="B232:H232"/>
    <mergeCell ref="B245:H245"/>
    <mergeCell ref="B258:H258"/>
    <mergeCell ref="B271:F271"/>
    <mergeCell ref="B289:H289"/>
    <mergeCell ref="B290:H290"/>
    <mergeCell ref="B301:J301"/>
    <mergeCell ref="B158:N158"/>
    <mergeCell ref="B172:N172"/>
    <mergeCell ref="B186:N186"/>
    <mergeCell ref="B200:N200"/>
    <mergeCell ref="B201:N201"/>
    <mergeCell ref="B211:N211"/>
    <mergeCell ref="B221:N221"/>
  </mergeCells>
  <conditionalFormatting sqref="C292:E296">
    <cfRule type="cellIs" dxfId="6" priority="1" operator="greaterThan">
      <formula>0</formula>
    </cfRule>
  </conditionalFormatting>
  <conditionalFormatting sqref="C292:E296">
    <cfRule type="cellIs" dxfId="7" priority="2" operator="lessThan">
      <formula>0</formula>
    </cfRule>
  </conditionalFormatting>
  <conditionalFormatting sqref="C292:E296">
    <cfRule type="cellIs" dxfId="8" priority="3" operator="equal">
      <formula>0</formula>
    </cfRule>
  </conditionalFormatting>
  <printOptions/>
  <pageMargins bottom="1.0" footer="0.0" header="0.0" left="0.75" right="0.75" top="1.0"/>
  <pageSetup fitToHeight="0" orientation="landscape"/>
  <drawing r:id="rId4"/>
  <legacy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.29"/>
    <col customWidth="1" min="2" max="2" width="30.86"/>
    <col customWidth="1" min="3" max="3" width="23.57"/>
    <col customWidth="1" min="4" max="4" width="16.0"/>
    <col customWidth="1" min="5" max="5" width="22.29"/>
    <col customWidth="1" min="6" max="6" width="18.0"/>
    <col customWidth="1" min="7" max="7" width="16.0"/>
    <col customWidth="1" min="8" max="8" width="12.0"/>
    <col customWidth="1" min="9" max="9" width="14.0"/>
    <col customWidth="1" min="10" max="10" width="12.0"/>
    <col customWidth="1" min="11" max="12" width="14.0"/>
    <col customWidth="1" min="13" max="13" width="16.0"/>
    <col customWidth="1" min="14" max="14" width="18.0"/>
    <col customWidth="1" min="15" max="26" width="8.71"/>
  </cols>
  <sheetData>
    <row r="1" ht="22.5" customHeight="1">
      <c r="A1" s="80"/>
      <c r="B1" s="88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</row>
    <row r="2" ht="18.75" customHeight="1">
      <c r="A2" s="82"/>
      <c r="B2" s="89" t="s">
        <v>568</v>
      </c>
      <c r="C2" s="4"/>
      <c r="D2" s="4"/>
      <c r="E2" s="4"/>
      <c r="F2" s="5"/>
      <c r="G2" s="82"/>
      <c r="H2" s="82"/>
      <c r="I2" s="82"/>
      <c r="J2" s="82"/>
      <c r="K2" s="82"/>
      <c r="L2" s="82"/>
      <c r="M2" s="82"/>
      <c r="N2" s="82"/>
    </row>
    <row r="3" ht="16.5" customHeight="1">
      <c r="A3" s="84"/>
      <c r="B3" s="90" t="s">
        <v>233</v>
      </c>
      <c r="C3" s="91" t="s">
        <v>234</v>
      </c>
      <c r="D3" s="91" t="s">
        <v>235</v>
      </c>
      <c r="E3" s="91" t="s">
        <v>236</v>
      </c>
      <c r="F3" s="91"/>
      <c r="G3" s="84"/>
      <c r="H3" s="84"/>
      <c r="I3" s="84"/>
      <c r="J3" s="84"/>
      <c r="K3" s="84"/>
      <c r="L3" s="84"/>
      <c r="M3" s="84"/>
      <c r="N3" s="84"/>
    </row>
    <row r="4">
      <c r="A4" s="2"/>
      <c r="B4" s="92" t="s">
        <v>237</v>
      </c>
      <c r="C4" s="93">
        <v>17.1</v>
      </c>
      <c r="D4" s="94" t="s">
        <v>238</v>
      </c>
      <c r="E4" s="95"/>
      <c r="F4" s="2"/>
      <c r="G4" s="2"/>
      <c r="H4" s="2"/>
      <c r="I4" s="2"/>
      <c r="J4" s="2"/>
      <c r="K4" s="2"/>
      <c r="L4" s="2"/>
      <c r="M4" s="2"/>
      <c r="N4" s="2"/>
    </row>
    <row r="5">
      <c r="A5" s="7"/>
      <c r="B5" s="96" t="s">
        <v>239</v>
      </c>
      <c r="C5" s="97">
        <v>3.0</v>
      </c>
      <c r="D5" s="98" t="s">
        <v>240</v>
      </c>
      <c r="E5" s="99" t="s">
        <v>241</v>
      </c>
      <c r="F5" s="7"/>
      <c r="G5" s="7"/>
      <c r="H5" s="7"/>
      <c r="I5" s="7"/>
      <c r="J5" s="7"/>
      <c r="K5" s="7"/>
      <c r="L5" s="7"/>
      <c r="M5" s="7"/>
      <c r="N5" s="7"/>
    </row>
    <row r="6">
      <c r="A6" s="2"/>
      <c r="B6" s="92" t="s">
        <v>242</v>
      </c>
      <c r="C6" s="93">
        <v>18.5</v>
      </c>
      <c r="D6" s="94" t="s">
        <v>243</v>
      </c>
      <c r="E6" s="95" t="s">
        <v>244</v>
      </c>
      <c r="F6" s="2"/>
      <c r="G6" s="2"/>
      <c r="H6" s="2"/>
      <c r="I6" s="2"/>
      <c r="J6" s="2"/>
      <c r="K6" s="2"/>
      <c r="L6" s="2"/>
      <c r="M6" s="2"/>
      <c r="N6" s="2"/>
    </row>
    <row r="7">
      <c r="A7" s="7"/>
      <c r="B7" s="96" t="s">
        <v>245</v>
      </c>
      <c r="C7" s="100">
        <v>26.0</v>
      </c>
      <c r="D7" s="98" t="s">
        <v>246</v>
      </c>
      <c r="E7" s="99" t="s">
        <v>244</v>
      </c>
      <c r="F7" s="7"/>
      <c r="G7" s="7"/>
      <c r="H7" s="7"/>
      <c r="I7" s="7"/>
      <c r="J7" s="7"/>
      <c r="K7" s="7"/>
      <c r="L7" s="7"/>
      <c r="M7" s="7"/>
      <c r="N7" s="7"/>
    </row>
    <row r="8">
      <c r="A8" s="2"/>
      <c r="B8" s="92" t="s">
        <v>247</v>
      </c>
      <c r="C8" s="93">
        <v>1.1</v>
      </c>
      <c r="D8" s="94" t="s">
        <v>248</v>
      </c>
      <c r="E8" s="95"/>
      <c r="F8" s="2"/>
      <c r="G8" s="2"/>
      <c r="H8" s="2"/>
      <c r="I8" s="2"/>
      <c r="J8" s="2"/>
      <c r="K8" s="2"/>
      <c r="L8" s="2"/>
      <c r="M8" s="2"/>
      <c r="N8" s="2"/>
    </row>
    <row r="9">
      <c r="A9" s="7"/>
      <c r="B9" s="96" t="s">
        <v>249</v>
      </c>
      <c r="C9" s="101">
        <v>300.0</v>
      </c>
      <c r="D9" s="98" t="s">
        <v>250</v>
      </c>
      <c r="E9" s="99"/>
      <c r="F9" s="7"/>
      <c r="G9" s="7"/>
      <c r="H9" s="7"/>
      <c r="I9" s="7"/>
      <c r="J9" s="7"/>
      <c r="K9" s="7"/>
      <c r="L9" s="7"/>
      <c r="M9" s="7"/>
      <c r="N9" s="7"/>
    </row>
    <row r="10">
      <c r="A10" s="2"/>
      <c r="B10" s="92" t="s">
        <v>251</v>
      </c>
      <c r="C10" s="102">
        <v>25.0</v>
      </c>
      <c r="D10" s="94" t="s">
        <v>250</v>
      </c>
      <c r="E10" s="95"/>
      <c r="F10" s="2"/>
      <c r="G10" s="2"/>
      <c r="H10" s="2"/>
      <c r="I10" s="2"/>
      <c r="J10" s="2"/>
      <c r="K10" s="2"/>
      <c r="L10" s="2"/>
      <c r="M10" s="2"/>
      <c r="N10" s="2"/>
    </row>
    <row r="11">
      <c r="A11" s="7"/>
      <c r="B11" s="96" t="s">
        <v>252</v>
      </c>
      <c r="C11" s="107">
        <v>0.1</v>
      </c>
      <c r="D11" s="98" t="s">
        <v>253</v>
      </c>
      <c r="E11" s="99"/>
      <c r="F11" s="7"/>
      <c r="G11" s="7"/>
      <c r="H11" s="7"/>
      <c r="I11" s="7"/>
      <c r="J11" s="7"/>
      <c r="K11" s="7"/>
      <c r="L11" s="7"/>
      <c r="M11" s="7"/>
      <c r="N11" s="7"/>
    </row>
    <row r="12">
      <c r="A12" s="2"/>
      <c r="B12" s="92" t="s">
        <v>255</v>
      </c>
      <c r="C12" s="102">
        <v>65.0</v>
      </c>
      <c r="D12" s="94" t="s">
        <v>256</v>
      </c>
      <c r="E12" s="95"/>
      <c r="F12" s="2"/>
      <c r="G12" s="2"/>
      <c r="H12" s="2"/>
      <c r="I12" s="2"/>
      <c r="J12" s="2"/>
      <c r="K12" s="2"/>
      <c r="L12" s="2"/>
      <c r="M12" s="2"/>
      <c r="N12" s="2"/>
    </row>
    <row r="13">
      <c r="A13" s="7"/>
      <c r="B13" s="96" t="s">
        <v>258</v>
      </c>
      <c r="C13" s="97">
        <v>1.35</v>
      </c>
      <c r="D13" s="98" t="s">
        <v>248</v>
      </c>
      <c r="E13" s="99"/>
      <c r="F13" s="7"/>
      <c r="G13" s="7"/>
      <c r="H13" s="7"/>
      <c r="I13" s="7"/>
      <c r="J13" s="7"/>
      <c r="K13" s="7"/>
      <c r="L13" s="7"/>
      <c r="M13" s="7"/>
      <c r="N13" s="7"/>
    </row>
    <row r="14">
      <c r="A14" s="2"/>
      <c r="B14" s="92" t="s">
        <v>259</v>
      </c>
      <c r="C14" s="106">
        <v>0.2</v>
      </c>
      <c r="D14" s="94" t="s">
        <v>253</v>
      </c>
      <c r="E14" s="95"/>
      <c r="F14" s="2"/>
      <c r="G14" s="2"/>
      <c r="H14" s="2"/>
      <c r="I14" s="2"/>
      <c r="J14" s="2"/>
      <c r="K14" s="2"/>
      <c r="L14" s="2"/>
      <c r="M14" s="2"/>
      <c r="N14" s="2"/>
    </row>
    <row r="15">
      <c r="A15" s="7"/>
      <c r="B15" s="96" t="s">
        <v>260</v>
      </c>
      <c r="C15" s="107">
        <v>0.3</v>
      </c>
      <c r="D15" s="98" t="s">
        <v>253</v>
      </c>
      <c r="E15" s="99"/>
      <c r="F15" s="7"/>
      <c r="G15" s="7"/>
      <c r="H15" s="7"/>
      <c r="I15" s="7"/>
      <c r="J15" s="7"/>
      <c r="K15" s="7"/>
      <c r="L15" s="7"/>
      <c r="M15" s="7"/>
      <c r="N15" s="7"/>
    </row>
    <row r="16">
      <c r="A16" s="2"/>
      <c r="B16" s="92" t="s">
        <v>261</v>
      </c>
      <c r="C16" s="106">
        <v>0.1</v>
      </c>
      <c r="D16" s="94" t="s">
        <v>253</v>
      </c>
      <c r="E16" s="95"/>
      <c r="F16" s="2"/>
      <c r="G16" s="2"/>
      <c r="H16" s="2"/>
      <c r="I16" s="2"/>
      <c r="J16" s="2"/>
      <c r="K16" s="2"/>
      <c r="L16" s="2"/>
      <c r="M16" s="2"/>
      <c r="N16" s="2"/>
    </row>
    <row r="17">
      <c r="A17" s="7"/>
      <c r="B17" s="96" t="s">
        <v>262</v>
      </c>
      <c r="C17" s="107">
        <v>0.05</v>
      </c>
      <c r="D17" s="98" t="s">
        <v>253</v>
      </c>
      <c r="E17" s="99"/>
      <c r="F17" s="7"/>
      <c r="G17" s="7"/>
      <c r="H17" s="7"/>
      <c r="I17" s="7"/>
      <c r="J17" s="7"/>
      <c r="K17" s="7"/>
      <c r="L17" s="7"/>
      <c r="M17" s="7"/>
      <c r="N17" s="7"/>
    </row>
    <row r="18">
      <c r="A18" s="2"/>
      <c r="B18" s="92" t="s">
        <v>263</v>
      </c>
      <c r="C18" s="102">
        <v>10.0</v>
      </c>
      <c r="D18" s="94" t="s">
        <v>264</v>
      </c>
      <c r="E18" s="95"/>
      <c r="F18" s="2"/>
      <c r="G18" s="2"/>
      <c r="H18" s="2"/>
      <c r="I18" s="2"/>
      <c r="J18" s="2"/>
      <c r="K18" s="2"/>
      <c r="L18" s="2"/>
      <c r="M18" s="2"/>
      <c r="N18" s="2"/>
    </row>
    <row r="19">
      <c r="A19" s="7"/>
      <c r="B19" s="96" t="s">
        <v>265</v>
      </c>
      <c r="C19" s="101">
        <v>4.0</v>
      </c>
      <c r="D19" s="98" t="s">
        <v>264</v>
      </c>
      <c r="E19" s="99"/>
      <c r="F19" s="7"/>
      <c r="G19" s="7"/>
      <c r="H19" s="7"/>
      <c r="I19" s="7"/>
      <c r="J19" s="7"/>
      <c r="K19" s="7"/>
      <c r="L19" s="7"/>
      <c r="M19" s="7"/>
      <c r="N19" s="7"/>
    </row>
    <row r="20">
      <c r="A20" s="2"/>
      <c r="B20" s="92" t="s">
        <v>266</v>
      </c>
      <c r="C20" s="102">
        <v>3.0</v>
      </c>
      <c r="D20" s="94" t="s">
        <v>264</v>
      </c>
      <c r="E20" s="95"/>
      <c r="F20" s="2"/>
      <c r="G20" s="2"/>
      <c r="H20" s="2"/>
      <c r="I20" s="2"/>
      <c r="J20" s="2"/>
      <c r="K20" s="2"/>
      <c r="L20" s="2"/>
      <c r="M20" s="2"/>
      <c r="N20" s="2"/>
    </row>
    <row r="21">
      <c r="A21" s="7"/>
      <c r="B21" s="96" t="s">
        <v>267</v>
      </c>
      <c r="C21" s="107">
        <v>0.75</v>
      </c>
      <c r="D21" s="98" t="s">
        <v>253</v>
      </c>
      <c r="E21" s="99"/>
      <c r="F21" s="7"/>
      <c r="G21" s="7"/>
      <c r="H21" s="7"/>
      <c r="I21" s="7"/>
      <c r="J21" s="7"/>
      <c r="K21" s="7"/>
      <c r="L21" s="7"/>
      <c r="M21" s="7"/>
      <c r="N21" s="7"/>
    </row>
    <row r="22">
      <c r="A22" s="2"/>
      <c r="B22" s="92" t="s">
        <v>268</v>
      </c>
      <c r="C22" s="106">
        <v>0.5</v>
      </c>
      <c r="D22" s="94" t="s">
        <v>253</v>
      </c>
      <c r="E22" s="95"/>
      <c r="F22" s="2"/>
      <c r="G22" s="2"/>
      <c r="H22" s="2"/>
      <c r="I22" s="2"/>
      <c r="J22" s="2"/>
      <c r="K22" s="2"/>
      <c r="L22" s="2"/>
      <c r="M22" s="2"/>
      <c r="N22" s="2"/>
    </row>
    <row r="23">
      <c r="A23" s="7"/>
      <c r="B23" s="96" t="s">
        <v>269</v>
      </c>
      <c r="C23" s="107">
        <v>0.75</v>
      </c>
      <c r="D23" s="98" t="s">
        <v>253</v>
      </c>
      <c r="E23" s="99"/>
      <c r="F23" s="7"/>
      <c r="G23" s="7"/>
      <c r="H23" s="7"/>
      <c r="I23" s="7"/>
      <c r="J23" s="7"/>
      <c r="K23" s="7"/>
      <c r="L23" s="7"/>
      <c r="M23" s="7"/>
      <c r="N23" s="7"/>
    </row>
    <row r="24">
      <c r="A24" s="2"/>
      <c r="B24" s="92" t="s">
        <v>270</v>
      </c>
      <c r="C24" s="106">
        <v>1.0</v>
      </c>
      <c r="D24" s="94" t="s">
        <v>253</v>
      </c>
      <c r="E24" s="95"/>
      <c r="F24" s="2"/>
      <c r="G24" s="2"/>
      <c r="H24" s="2"/>
      <c r="I24" s="2"/>
      <c r="J24" s="2"/>
      <c r="K24" s="2"/>
      <c r="L24" s="2"/>
      <c r="M24" s="2"/>
      <c r="N24" s="2"/>
    </row>
    <row r="25">
      <c r="A25" s="7"/>
      <c r="B25" s="96" t="s">
        <v>271</v>
      </c>
      <c r="C25" s="101">
        <v>30.0</v>
      </c>
      <c r="D25" s="98" t="s">
        <v>250</v>
      </c>
      <c r="E25" s="99"/>
      <c r="F25" s="7"/>
      <c r="G25" s="7"/>
      <c r="H25" s="7"/>
      <c r="I25" s="7"/>
      <c r="J25" s="7"/>
      <c r="K25" s="7"/>
      <c r="L25" s="7"/>
      <c r="M25" s="7"/>
      <c r="N25" s="7"/>
    </row>
    <row r="26">
      <c r="A26" s="2"/>
      <c r="B26" s="92" t="s">
        <v>272</v>
      </c>
      <c r="C26" s="102">
        <v>7.0</v>
      </c>
      <c r="D26" s="94" t="s">
        <v>250</v>
      </c>
      <c r="E26" s="95"/>
      <c r="F26" s="2"/>
      <c r="G26" s="2"/>
      <c r="H26" s="2"/>
      <c r="I26" s="2"/>
      <c r="J26" s="2"/>
      <c r="K26" s="2"/>
      <c r="L26" s="2"/>
      <c r="M26" s="2"/>
      <c r="N26" s="2"/>
    </row>
    <row r="27">
      <c r="A27" s="7"/>
      <c r="B27" s="96" t="s">
        <v>273</v>
      </c>
      <c r="C27" s="101">
        <v>15.0</v>
      </c>
      <c r="D27" s="98" t="s">
        <v>250</v>
      </c>
      <c r="E27" s="99"/>
      <c r="F27" s="7"/>
      <c r="G27" s="7"/>
      <c r="H27" s="7"/>
      <c r="I27" s="7"/>
      <c r="J27" s="7"/>
      <c r="K27" s="7"/>
      <c r="L27" s="7"/>
      <c r="M27" s="7"/>
      <c r="N27" s="7"/>
    </row>
    <row r="28">
      <c r="A28" s="2"/>
      <c r="B28" s="92" t="s">
        <v>274</v>
      </c>
      <c r="C28" s="111">
        <v>5.0</v>
      </c>
      <c r="D28" s="94" t="s">
        <v>248</v>
      </c>
      <c r="E28" s="95" t="s">
        <v>275</v>
      </c>
      <c r="F28" s="2"/>
      <c r="G28" s="2"/>
      <c r="H28" s="2"/>
      <c r="I28" s="2"/>
      <c r="J28" s="2"/>
      <c r="K28" s="2"/>
      <c r="L28" s="2"/>
      <c r="M28" s="2"/>
      <c r="N28" s="2"/>
    </row>
    <row r="29">
      <c r="A29" s="7"/>
      <c r="B29" s="96" t="s">
        <v>276</v>
      </c>
      <c r="C29" s="107">
        <v>0.6</v>
      </c>
      <c r="D29" s="98" t="s">
        <v>253</v>
      </c>
      <c r="E29" s="99" t="s">
        <v>277</v>
      </c>
      <c r="F29" s="7"/>
      <c r="G29" s="7"/>
      <c r="H29" s="7"/>
      <c r="I29" s="7"/>
      <c r="J29" s="7"/>
      <c r="K29" s="7"/>
      <c r="L29" s="7"/>
      <c r="M29" s="7"/>
      <c r="N29" s="7"/>
    </row>
    <row r="30">
      <c r="A30" s="2"/>
      <c r="B30" s="92" t="s">
        <v>278</v>
      </c>
      <c r="C30" s="106">
        <v>0.135</v>
      </c>
      <c r="D30" s="94" t="s">
        <v>279</v>
      </c>
      <c r="E30" s="95"/>
      <c r="F30" s="2"/>
      <c r="G30" s="2"/>
      <c r="H30" s="2"/>
      <c r="I30" s="2"/>
      <c r="J30" s="2"/>
      <c r="K30" s="2"/>
      <c r="L30" s="2"/>
      <c r="M30" s="2"/>
      <c r="N30" s="2"/>
    </row>
    <row r="31">
      <c r="A31" s="7"/>
      <c r="B31" s="96" t="s">
        <v>280</v>
      </c>
      <c r="C31" s="101">
        <v>6.0</v>
      </c>
      <c r="D31" s="98" t="s">
        <v>264</v>
      </c>
      <c r="E31" s="99"/>
      <c r="F31" s="7"/>
      <c r="G31" s="7"/>
      <c r="H31" s="7"/>
      <c r="I31" s="7"/>
      <c r="J31" s="7"/>
      <c r="K31" s="7"/>
      <c r="L31" s="7"/>
      <c r="M31" s="7"/>
      <c r="N31" s="7"/>
    </row>
    <row r="32">
      <c r="A32" s="2"/>
      <c r="B32" s="11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>
      <c r="A33" s="7"/>
      <c r="B33" s="113" t="s">
        <v>569</v>
      </c>
      <c r="C33" s="4"/>
      <c r="D33" s="4"/>
      <c r="E33" s="4"/>
      <c r="F33" s="5"/>
      <c r="G33" s="16"/>
      <c r="H33" s="16"/>
      <c r="I33" s="16"/>
      <c r="J33" s="16"/>
      <c r="K33" s="16"/>
      <c r="L33" s="16"/>
      <c r="M33" s="16"/>
      <c r="N33" s="16"/>
    </row>
    <row r="34">
      <c r="A34" s="2"/>
      <c r="B34" s="92" t="s">
        <v>282</v>
      </c>
      <c r="C34" s="109">
        <v>362.0</v>
      </c>
      <c r="D34" s="94" t="s">
        <v>283</v>
      </c>
      <c r="E34" s="95" t="s">
        <v>244</v>
      </c>
      <c r="F34" s="2"/>
      <c r="G34" s="2"/>
      <c r="H34" s="2"/>
      <c r="I34" s="2"/>
      <c r="J34" s="2"/>
      <c r="K34" s="2"/>
      <c r="L34" s="2"/>
      <c r="M34" s="2"/>
      <c r="N34" s="2"/>
    </row>
    <row r="35">
      <c r="A35" s="7"/>
      <c r="B35" s="96" t="s">
        <v>284</v>
      </c>
      <c r="C35" s="107">
        <v>0.3</v>
      </c>
      <c r="D35" s="98" t="s">
        <v>253</v>
      </c>
      <c r="E35" s="99" t="s">
        <v>285</v>
      </c>
      <c r="F35" s="7"/>
      <c r="G35" s="7"/>
      <c r="H35" s="7"/>
      <c r="I35" s="7"/>
      <c r="J35" s="7"/>
      <c r="K35" s="7"/>
      <c r="L35" s="7"/>
      <c r="M35" s="7"/>
      <c r="N35" s="7"/>
    </row>
    <row r="36">
      <c r="A36" s="2"/>
      <c r="B36" s="92" t="s">
        <v>286</v>
      </c>
      <c r="C36" s="106">
        <v>0.4</v>
      </c>
      <c r="D36" s="94" t="s">
        <v>253</v>
      </c>
      <c r="E36" s="95" t="s">
        <v>287</v>
      </c>
      <c r="F36" s="2"/>
      <c r="G36" s="2"/>
      <c r="H36" s="2"/>
      <c r="I36" s="2"/>
      <c r="J36" s="2"/>
      <c r="K36" s="2"/>
      <c r="L36" s="2"/>
      <c r="M36" s="2"/>
      <c r="N36" s="2"/>
    </row>
    <row r="37">
      <c r="A37" s="7"/>
      <c r="B37" s="96" t="s">
        <v>288</v>
      </c>
      <c r="C37" s="107">
        <v>0.8</v>
      </c>
      <c r="D37" s="98" t="s">
        <v>253</v>
      </c>
      <c r="E37" s="99" t="s">
        <v>289</v>
      </c>
      <c r="F37" s="7"/>
      <c r="G37" s="7"/>
      <c r="H37" s="7"/>
      <c r="I37" s="7"/>
      <c r="J37" s="7"/>
      <c r="K37" s="7"/>
      <c r="L37" s="7"/>
      <c r="M37" s="7"/>
      <c r="N37" s="7"/>
    </row>
    <row r="38">
      <c r="A38" s="2"/>
      <c r="B38" s="92" t="s">
        <v>570</v>
      </c>
      <c r="C38" s="93">
        <v>0.4</v>
      </c>
      <c r="D38" s="94" t="s">
        <v>291</v>
      </c>
      <c r="E38" s="95" t="s">
        <v>571</v>
      </c>
      <c r="F38" s="2"/>
      <c r="G38" s="2"/>
      <c r="H38" s="2"/>
      <c r="I38" s="2"/>
      <c r="J38" s="2"/>
      <c r="K38" s="2"/>
      <c r="L38" s="2"/>
      <c r="M38" s="2"/>
      <c r="N38" s="2"/>
    </row>
    <row r="39">
      <c r="A39" s="7"/>
      <c r="B39" s="96" t="s">
        <v>572</v>
      </c>
      <c r="C39" s="101">
        <v>45.0</v>
      </c>
      <c r="D39" s="98" t="s">
        <v>573</v>
      </c>
      <c r="E39" s="99"/>
      <c r="F39" s="7"/>
      <c r="G39" s="7"/>
      <c r="H39" s="7"/>
      <c r="I39" s="7"/>
      <c r="J39" s="7"/>
      <c r="K39" s="7"/>
      <c r="L39" s="7"/>
      <c r="M39" s="7"/>
      <c r="N39" s="7"/>
    </row>
    <row r="40">
      <c r="A40" s="2"/>
      <c r="B40" s="92" t="s">
        <v>574</v>
      </c>
      <c r="C40" s="102">
        <v>120.0</v>
      </c>
      <c r="D40" s="94" t="s">
        <v>573</v>
      </c>
      <c r="E40" s="95"/>
      <c r="F40" s="2"/>
      <c r="G40" s="2"/>
      <c r="H40" s="2"/>
      <c r="I40" s="2"/>
      <c r="J40" s="2"/>
      <c r="K40" s="2"/>
      <c r="L40" s="2"/>
      <c r="M40" s="2"/>
      <c r="N40" s="2"/>
    </row>
    <row r="41">
      <c r="A41" s="7"/>
      <c r="B41" s="96" t="s">
        <v>575</v>
      </c>
      <c r="C41" s="101">
        <v>220.0</v>
      </c>
      <c r="D41" s="98" t="s">
        <v>576</v>
      </c>
      <c r="E41" s="99"/>
      <c r="F41" s="7"/>
      <c r="G41" s="7"/>
      <c r="H41" s="7"/>
      <c r="I41" s="7"/>
      <c r="J41" s="7"/>
      <c r="K41" s="7"/>
      <c r="L41" s="7"/>
      <c r="M41" s="7"/>
      <c r="N41" s="7"/>
    </row>
    <row r="42">
      <c r="A42" s="2"/>
      <c r="B42" s="114" t="s">
        <v>577</v>
      </c>
      <c r="C42" s="115">
        <v>1.0</v>
      </c>
      <c r="D42" s="200" t="s">
        <v>243</v>
      </c>
      <c r="E42" s="105" t="s">
        <v>578</v>
      </c>
      <c r="F42" s="2"/>
      <c r="G42" s="2"/>
      <c r="H42" s="2"/>
      <c r="I42" s="2"/>
      <c r="J42" s="2"/>
      <c r="K42" s="2"/>
      <c r="L42" s="2"/>
      <c r="M42" s="2"/>
      <c r="N42" s="2"/>
    </row>
    <row r="43">
      <c r="A43" s="7"/>
      <c r="B43" s="96" t="s">
        <v>579</v>
      </c>
      <c r="C43" s="100">
        <v>1.0</v>
      </c>
      <c r="D43" s="98" t="s">
        <v>243</v>
      </c>
      <c r="E43" s="104" t="s">
        <v>580</v>
      </c>
      <c r="F43" s="7"/>
      <c r="G43" s="7"/>
      <c r="H43" s="7"/>
      <c r="I43" s="7"/>
      <c r="J43" s="7"/>
      <c r="K43" s="7"/>
      <c r="L43" s="7"/>
      <c r="M43" s="7"/>
      <c r="N43" s="7"/>
    </row>
    <row r="44">
      <c r="A44" s="2"/>
      <c r="B44" s="92" t="s">
        <v>581</v>
      </c>
      <c r="C44" s="106">
        <v>0.4</v>
      </c>
      <c r="D44" s="94" t="s">
        <v>253</v>
      </c>
      <c r="E44" s="95"/>
      <c r="F44" s="2"/>
      <c r="G44" s="2"/>
      <c r="H44" s="2"/>
      <c r="I44" s="2"/>
      <c r="J44" s="2"/>
      <c r="K44" s="2"/>
      <c r="L44" s="2"/>
      <c r="M44" s="2"/>
      <c r="N44" s="2"/>
    </row>
    <row r="45">
      <c r="A45" s="7"/>
      <c r="B45" s="96" t="s">
        <v>582</v>
      </c>
      <c r="C45" s="107">
        <v>0.35</v>
      </c>
      <c r="D45" s="98" t="s">
        <v>253</v>
      </c>
      <c r="E45" s="99"/>
      <c r="F45" s="7"/>
      <c r="G45" s="7"/>
      <c r="H45" s="7"/>
      <c r="I45" s="7"/>
      <c r="J45" s="7"/>
      <c r="K45" s="7"/>
      <c r="L45" s="7"/>
      <c r="M45" s="7"/>
      <c r="N45" s="7"/>
    </row>
    <row r="46">
      <c r="A46" s="2"/>
      <c r="B46" s="92" t="s">
        <v>583</v>
      </c>
      <c r="C46" s="106">
        <v>0.25</v>
      </c>
      <c r="D46" s="94" t="s">
        <v>253</v>
      </c>
      <c r="E46" s="95"/>
      <c r="F46" s="2"/>
      <c r="G46" s="2"/>
      <c r="H46" s="2"/>
      <c r="I46" s="2"/>
      <c r="J46" s="2"/>
      <c r="K46" s="2"/>
      <c r="L46" s="2"/>
      <c r="M46" s="2"/>
      <c r="N46" s="2"/>
    </row>
    <row r="47">
      <c r="A47" s="7"/>
      <c r="B47" s="96" t="s">
        <v>9</v>
      </c>
      <c r="C47" s="101">
        <v>3.0</v>
      </c>
      <c r="D47" s="98" t="s">
        <v>584</v>
      </c>
      <c r="E47" s="99" t="s">
        <v>585</v>
      </c>
      <c r="F47" s="7"/>
      <c r="G47" s="7"/>
      <c r="H47" s="7"/>
      <c r="I47" s="7"/>
      <c r="J47" s="7"/>
      <c r="K47" s="7"/>
      <c r="L47" s="7"/>
      <c r="M47" s="7"/>
      <c r="N47" s="7"/>
    </row>
    <row r="48">
      <c r="A48" s="2"/>
      <c r="B48" s="92" t="s">
        <v>296</v>
      </c>
      <c r="C48" s="102">
        <v>400.0</v>
      </c>
      <c r="D48" s="94" t="s">
        <v>297</v>
      </c>
      <c r="E48" s="95"/>
      <c r="F48" s="2"/>
      <c r="G48" s="2"/>
      <c r="H48" s="2"/>
      <c r="I48" s="2"/>
      <c r="J48" s="2"/>
      <c r="K48" s="2"/>
      <c r="L48" s="2"/>
      <c r="M48" s="2"/>
      <c r="N48" s="2"/>
    </row>
    <row r="49">
      <c r="A49" s="7"/>
      <c r="B49" s="143" t="s">
        <v>586</v>
      </c>
      <c r="C49" s="126">
        <v>186975.0</v>
      </c>
      <c r="D49" s="98" t="s">
        <v>299</v>
      </c>
      <c r="E49" s="99" t="s">
        <v>587</v>
      </c>
      <c r="F49" s="7"/>
      <c r="G49" s="7"/>
      <c r="H49" s="7"/>
      <c r="I49" s="7"/>
      <c r="J49" s="7"/>
      <c r="K49" s="7"/>
      <c r="L49" s="7"/>
      <c r="M49" s="7"/>
      <c r="N49" s="7"/>
    </row>
    <row r="50">
      <c r="A50" s="2"/>
      <c r="B50" s="92" t="s">
        <v>301</v>
      </c>
      <c r="C50" s="196" t="s">
        <v>588</v>
      </c>
      <c r="D50" s="94"/>
      <c r="E50" s="95" t="s">
        <v>589</v>
      </c>
      <c r="F50" s="2"/>
      <c r="G50" s="2"/>
      <c r="H50" s="2"/>
      <c r="I50" s="2"/>
      <c r="J50" s="2"/>
      <c r="K50" s="2"/>
      <c r="L50" s="2"/>
      <c r="M50" s="2"/>
      <c r="N50" s="2"/>
    </row>
    <row r="51">
      <c r="A51" s="7"/>
      <c r="B51" s="119" t="s">
        <v>304</v>
      </c>
      <c r="C51" s="60">
        <v>20000.0</v>
      </c>
      <c r="D51" s="60" t="s">
        <v>299</v>
      </c>
      <c r="E51" s="60" t="s">
        <v>305</v>
      </c>
      <c r="F51" s="7"/>
      <c r="G51" s="7"/>
      <c r="H51" s="7"/>
      <c r="I51" s="7"/>
      <c r="J51" s="7"/>
      <c r="K51" s="7"/>
      <c r="L51" s="7"/>
      <c r="M51" s="7"/>
      <c r="N51" s="7"/>
    </row>
    <row r="52">
      <c r="A52" s="2"/>
      <c r="B52" s="118" t="s">
        <v>306</v>
      </c>
      <c r="C52" s="59">
        <v>6000.0</v>
      </c>
      <c r="D52" s="59" t="s">
        <v>299</v>
      </c>
      <c r="E52" s="59" t="s">
        <v>590</v>
      </c>
      <c r="F52" s="2"/>
      <c r="G52" s="2"/>
      <c r="H52" s="2"/>
      <c r="I52" s="2"/>
      <c r="J52" s="2"/>
      <c r="K52" s="2"/>
      <c r="L52" s="2"/>
      <c r="M52" s="2"/>
      <c r="N52" s="2"/>
    </row>
    <row r="53">
      <c r="A53" s="7"/>
      <c r="B53" s="168" t="s">
        <v>591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5"/>
    </row>
    <row r="54">
      <c r="A54" s="2"/>
      <c r="B54" s="197" t="s">
        <v>308</v>
      </c>
      <c r="C54" s="198" t="s">
        <v>309</v>
      </c>
      <c r="D54" s="198" t="s">
        <v>310</v>
      </c>
      <c r="E54" s="198" t="s">
        <v>311</v>
      </c>
      <c r="F54" s="198" t="s">
        <v>312</v>
      </c>
      <c r="G54" s="198" t="s">
        <v>313</v>
      </c>
      <c r="H54" s="198" t="s">
        <v>314</v>
      </c>
      <c r="I54" s="198" t="s">
        <v>315</v>
      </c>
      <c r="J54" s="198" t="s">
        <v>316</v>
      </c>
      <c r="K54" s="198" t="s">
        <v>317</v>
      </c>
      <c r="L54" s="198" t="s">
        <v>318</v>
      </c>
      <c r="M54" s="198" t="s">
        <v>319</v>
      </c>
      <c r="N54" s="198" t="s">
        <v>320</v>
      </c>
    </row>
    <row r="55">
      <c r="A55" s="7"/>
      <c r="B55" s="96" t="s">
        <v>592</v>
      </c>
      <c r="C55" s="98" t="s">
        <v>512</v>
      </c>
      <c r="D55" s="101">
        <v>1.0</v>
      </c>
      <c r="E55" s="126">
        <v>850000.0</v>
      </c>
      <c r="F55" s="20">
        <f t="shared" ref="F55:F60" si="1">D55*E55</f>
        <v>850000</v>
      </c>
      <c r="G55" s="127">
        <v>15.0</v>
      </c>
      <c r="H55" s="107">
        <v>0.6</v>
      </c>
      <c r="I55" s="128">
        <f t="shared" ref="I55:I59" si="2">H55*8</f>
        <v>4.8</v>
      </c>
      <c r="J55" s="129">
        <f>C10</f>
        <v>25</v>
      </c>
      <c r="K55" s="56">
        <f t="shared" ref="K55:K59" si="3">G55*I55*J55*D55</f>
        <v>1800</v>
      </c>
      <c r="L55" s="56">
        <f>K55*C8</f>
        <v>1980</v>
      </c>
      <c r="M55" s="20">
        <f>L55*C5</f>
        <v>5940</v>
      </c>
      <c r="N55" s="99" t="s">
        <v>593</v>
      </c>
    </row>
    <row r="56">
      <c r="A56" s="2"/>
      <c r="B56" s="92" t="s">
        <v>594</v>
      </c>
      <c r="C56" s="94" t="s">
        <v>328</v>
      </c>
      <c r="D56" s="102">
        <v>1.0</v>
      </c>
      <c r="E56" s="116">
        <v>380000.0</v>
      </c>
      <c r="F56" s="26">
        <f t="shared" si="1"/>
        <v>380000</v>
      </c>
      <c r="G56" s="123">
        <v>22.0</v>
      </c>
      <c r="H56" s="106">
        <v>0.5</v>
      </c>
      <c r="I56" s="124">
        <f t="shared" si="2"/>
        <v>4</v>
      </c>
      <c r="J56" s="44">
        <f>C10</f>
        <v>25</v>
      </c>
      <c r="K56" s="125">
        <f t="shared" si="3"/>
        <v>2200</v>
      </c>
      <c r="L56" s="125">
        <f>K56*C8</f>
        <v>2420</v>
      </c>
      <c r="M56" s="26">
        <f>L56*C5</f>
        <v>7260</v>
      </c>
      <c r="N56" s="95"/>
    </row>
    <row r="57">
      <c r="A57" s="7"/>
      <c r="B57" s="96" t="s">
        <v>595</v>
      </c>
      <c r="C57" s="98" t="s">
        <v>328</v>
      </c>
      <c r="D57" s="101">
        <v>1.0</v>
      </c>
      <c r="E57" s="126">
        <v>180000.0</v>
      </c>
      <c r="F57" s="20">
        <f t="shared" si="1"/>
        <v>180000</v>
      </c>
      <c r="G57" s="127">
        <v>7.5</v>
      </c>
      <c r="H57" s="107">
        <v>0.6</v>
      </c>
      <c r="I57" s="128">
        <f t="shared" si="2"/>
        <v>4.8</v>
      </c>
      <c r="J57" s="129">
        <f>C10</f>
        <v>25</v>
      </c>
      <c r="K57" s="56">
        <f t="shared" si="3"/>
        <v>900</v>
      </c>
      <c r="L57" s="56">
        <f>K57*C8</f>
        <v>990</v>
      </c>
      <c r="M57" s="20">
        <f>L57*C5</f>
        <v>2970</v>
      </c>
      <c r="N57" s="99"/>
    </row>
    <row r="58">
      <c r="A58" s="2"/>
      <c r="B58" s="92" t="s">
        <v>596</v>
      </c>
      <c r="C58" s="94" t="s">
        <v>328</v>
      </c>
      <c r="D58" s="102">
        <v>1.0</v>
      </c>
      <c r="E58" s="116">
        <v>280000.0</v>
      </c>
      <c r="F58" s="26">
        <f t="shared" si="1"/>
        <v>280000</v>
      </c>
      <c r="G58" s="123">
        <v>5.0</v>
      </c>
      <c r="H58" s="106">
        <v>0.7</v>
      </c>
      <c r="I58" s="124">
        <f t="shared" si="2"/>
        <v>5.6</v>
      </c>
      <c r="J58" s="44">
        <f>C10</f>
        <v>25</v>
      </c>
      <c r="K58" s="125">
        <f t="shared" si="3"/>
        <v>700</v>
      </c>
      <c r="L58" s="125">
        <f>K58*C8</f>
        <v>770</v>
      </c>
      <c r="M58" s="26">
        <f>L58*C5</f>
        <v>2310</v>
      </c>
      <c r="N58" s="95"/>
    </row>
    <row r="59">
      <c r="A59" s="7"/>
      <c r="B59" s="96" t="s">
        <v>516</v>
      </c>
      <c r="C59" s="98" t="s">
        <v>517</v>
      </c>
      <c r="D59" s="101">
        <v>1.0</v>
      </c>
      <c r="E59" s="126">
        <v>3800.0</v>
      </c>
      <c r="F59" s="20">
        <f t="shared" si="1"/>
        <v>3800</v>
      </c>
      <c r="G59" s="127">
        <v>0.1</v>
      </c>
      <c r="H59" s="107">
        <v>0.4</v>
      </c>
      <c r="I59" s="128">
        <f t="shared" si="2"/>
        <v>3.2</v>
      </c>
      <c r="J59" s="129">
        <f>C10</f>
        <v>25</v>
      </c>
      <c r="K59" s="56">
        <f t="shared" si="3"/>
        <v>8</v>
      </c>
      <c r="L59" s="56">
        <f>K59*C8</f>
        <v>8.8</v>
      </c>
      <c r="M59" s="20">
        <f>L59*C5</f>
        <v>26.4</v>
      </c>
      <c r="N59" s="99"/>
    </row>
    <row r="60">
      <c r="A60" s="2"/>
      <c r="B60" s="92" t="s">
        <v>597</v>
      </c>
      <c r="C60" s="94" t="s">
        <v>337</v>
      </c>
      <c r="D60" s="102">
        <v>1.0</v>
      </c>
      <c r="E60" s="116">
        <v>45000.0</v>
      </c>
      <c r="F60" s="26">
        <f t="shared" si="1"/>
        <v>45000</v>
      </c>
      <c r="G60" s="123">
        <v>0.0</v>
      </c>
      <c r="H60" s="130"/>
      <c r="I60" s="130"/>
      <c r="J60" s="130"/>
      <c r="K60" s="44">
        <v>0.0</v>
      </c>
      <c r="L60" s="125">
        <f>K60*C8</f>
        <v>0</v>
      </c>
      <c r="M60" s="26">
        <f>L60*C5</f>
        <v>0</v>
      </c>
      <c r="N60" s="95"/>
    </row>
    <row r="61" ht="18.75" customHeight="1">
      <c r="A61" s="132"/>
      <c r="B61" s="133" t="s">
        <v>338</v>
      </c>
      <c r="C61" s="134"/>
      <c r="D61" s="134"/>
      <c r="E61" s="134"/>
      <c r="F61" s="135">
        <f>SUM(F55:F60)</f>
        <v>1738800</v>
      </c>
      <c r="G61" s="134"/>
      <c r="H61" s="134"/>
      <c r="I61" s="134"/>
      <c r="J61" s="134"/>
      <c r="K61" s="136">
        <f t="shared" ref="K61:M61" si="4">SUM(K55:K60)</f>
        <v>5608</v>
      </c>
      <c r="L61" s="136">
        <f t="shared" si="4"/>
        <v>6168.8</v>
      </c>
      <c r="M61" s="135">
        <f t="shared" si="4"/>
        <v>18506.4</v>
      </c>
      <c r="N61" s="134"/>
    </row>
    <row r="62">
      <c r="A62" s="2"/>
      <c r="B62" s="11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ht="18.75" customHeight="1">
      <c r="A63" s="132"/>
      <c r="B63" s="194" t="s">
        <v>598</v>
      </c>
      <c r="C63" s="4"/>
      <c r="D63" s="4"/>
      <c r="E63" s="4"/>
      <c r="F63" s="5"/>
      <c r="G63" s="181"/>
      <c r="H63" s="181"/>
      <c r="I63" s="181"/>
      <c r="J63" s="181"/>
      <c r="K63" s="181"/>
      <c r="L63" s="181"/>
      <c r="M63" s="181"/>
      <c r="N63" s="181"/>
    </row>
    <row r="64">
      <c r="A64" s="2"/>
      <c r="B64" s="197" t="s">
        <v>340</v>
      </c>
      <c r="C64" s="198" t="s">
        <v>341</v>
      </c>
      <c r="D64" s="198"/>
      <c r="E64" s="198"/>
      <c r="F64" s="198"/>
      <c r="G64" s="30"/>
      <c r="H64" s="30"/>
      <c r="I64" s="30"/>
      <c r="J64" s="30"/>
      <c r="K64" s="30"/>
      <c r="L64" s="30"/>
      <c r="M64" s="30"/>
      <c r="N64" s="30"/>
    </row>
    <row r="65">
      <c r="A65" s="7"/>
      <c r="B65" s="96" t="s">
        <v>342</v>
      </c>
      <c r="C65" s="20">
        <f>F61</f>
        <v>1738800</v>
      </c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</row>
    <row r="66">
      <c r="A66" s="2"/>
      <c r="B66" s="92" t="s">
        <v>343</v>
      </c>
      <c r="C66" s="116">
        <v>420000.0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>
      <c r="A67" s="7"/>
      <c r="B67" s="96" t="s">
        <v>344</v>
      </c>
      <c r="C67" s="126">
        <v>55000.0</v>
      </c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</row>
    <row r="68">
      <c r="A68" s="2"/>
      <c r="B68" s="92" t="s">
        <v>599</v>
      </c>
      <c r="C68" s="26">
        <f>(C84-C73)*3</f>
        <v>991159.176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ht="18.75" customHeight="1">
      <c r="A69" s="132"/>
      <c r="B69" s="133" t="s">
        <v>346</v>
      </c>
      <c r="C69" s="135">
        <f>SUM(C65:C68)</f>
        <v>3204959.176</v>
      </c>
      <c r="D69" s="132"/>
      <c r="E69" s="132"/>
      <c r="F69" s="132"/>
      <c r="G69" s="132"/>
      <c r="H69" s="132"/>
      <c r="I69" s="132"/>
      <c r="J69" s="132"/>
      <c r="K69" s="132"/>
      <c r="L69" s="132"/>
      <c r="M69" s="132"/>
      <c r="N69" s="132"/>
    </row>
    <row r="70">
      <c r="A70" s="2"/>
      <c r="B70" s="11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>
      <c r="A71" s="7"/>
      <c r="B71" s="168" t="s">
        <v>600</v>
      </c>
      <c r="C71" s="4"/>
      <c r="D71" s="4"/>
      <c r="E71" s="4"/>
      <c r="F71" s="5"/>
      <c r="G71" s="182"/>
      <c r="H71" s="182"/>
      <c r="I71" s="182"/>
      <c r="J71" s="182"/>
      <c r="K71" s="182"/>
      <c r="L71" s="182"/>
      <c r="M71" s="182"/>
      <c r="N71" s="182"/>
    </row>
    <row r="72">
      <c r="A72" s="2"/>
      <c r="B72" s="197" t="s">
        <v>340</v>
      </c>
      <c r="C72" s="198" t="s">
        <v>299</v>
      </c>
      <c r="D72" s="198"/>
      <c r="E72" s="198"/>
      <c r="F72" s="198"/>
      <c r="G72" s="30"/>
      <c r="H72" s="30"/>
      <c r="I72" s="30"/>
      <c r="J72" s="30"/>
      <c r="K72" s="30"/>
      <c r="L72" s="30"/>
      <c r="M72" s="30"/>
      <c r="N72" s="30"/>
    </row>
    <row r="73">
      <c r="A73" s="7"/>
      <c r="B73" s="143" t="s">
        <v>601</v>
      </c>
      <c r="C73" s="20">
        <f>C34*C36*(1-C11)*C42*1000</f>
        <v>130320</v>
      </c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</row>
    <row r="74">
      <c r="A74" s="2"/>
      <c r="B74" s="92" t="s">
        <v>352</v>
      </c>
      <c r="C74" s="26">
        <f>C48*C12</f>
        <v>26000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>
      <c r="A75" s="7"/>
      <c r="B75" s="96" t="s">
        <v>353</v>
      </c>
      <c r="C75" s="20">
        <f>M61</f>
        <v>18506.4</v>
      </c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</row>
    <row r="76">
      <c r="A76" s="2"/>
      <c r="B76" s="92" t="s">
        <v>354</v>
      </c>
      <c r="C76" s="26">
        <f>C49</f>
        <v>186975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>
      <c r="A77" s="7"/>
      <c r="B77" s="96" t="s">
        <v>355</v>
      </c>
      <c r="C77" s="126">
        <f>$C$51</f>
        <v>20000</v>
      </c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</row>
    <row r="78">
      <c r="A78" s="2"/>
      <c r="B78" s="114" t="s">
        <v>356</v>
      </c>
      <c r="C78" s="26">
        <f>C65*0.025/12</f>
        <v>3622.5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>
      <c r="A79" s="7"/>
      <c r="B79" s="96" t="s">
        <v>357</v>
      </c>
      <c r="C79" s="20">
        <f>E102*0.03</f>
        <v>16498.512</v>
      </c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</row>
    <row r="80">
      <c r="A80" s="2"/>
      <c r="B80" s="92" t="s">
        <v>358</v>
      </c>
      <c r="C80" s="116">
        <f>$C$52</f>
        <v>6000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>
      <c r="A81" s="7"/>
      <c r="B81" s="96" t="s">
        <v>359</v>
      </c>
      <c r="C81" s="20">
        <f>(C65+C66)*0.005/12</f>
        <v>899.5</v>
      </c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</row>
    <row r="82">
      <c r="A82" s="23"/>
      <c r="B82" s="145" t="s">
        <v>360</v>
      </c>
      <c r="C82" s="22">
        <f>E100*0.08</f>
        <v>48884.48</v>
      </c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</row>
    <row r="83">
      <c r="A83" s="35"/>
      <c r="B83" s="144" t="s">
        <v>361</v>
      </c>
      <c r="C83" s="195">
        <v>3000.0</v>
      </c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</row>
    <row r="84" ht="18.75" customHeight="1">
      <c r="A84" s="132"/>
      <c r="B84" s="133" t="s">
        <v>362</v>
      </c>
      <c r="C84" s="135">
        <f>SUM(C73:C83)</f>
        <v>460706.392</v>
      </c>
      <c r="D84" s="132"/>
      <c r="E84" s="132"/>
      <c r="F84" s="132"/>
      <c r="G84" s="132"/>
      <c r="H84" s="132"/>
      <c r="I84" s="132"/>
      <c r="J84" s="132"/>
      <c r="K84" s="132"/>
      <c r="L84" s="132"/>
      <c r="M84" s="132"/>
      <c r="N84" s="132"/>
    </row>
    <row r="85">
      <c r="A85" s="7"/>
      <c r="B85" s="149"/>
      <c r="I85" s="7"/>
      <c r="J85" s="7"/>
      <c r="K85" s="7"/>
      <c r="L85" s="7"/>
      <c r="M85" s="7"/>
      <c r="N85" s="7"/>
    </row>
    <row r="86">
      <c r="A86" s="2"/>
      <c r="B86" s="11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>
      <c r="A87" s="7"/>
      <c r="B87" s="168" t="s">
        <v>602</v>
      </c>
      <c r="C87" s="4"/>
      <c r="D87" s="4"/>
      <c r="E87" s="4"/>
      <c r="F87" s="4"/>
      <c r="G87" s="4"/>
      <c r="H87" s="5"/>
      <c r="I87" s="182"/>
      <c r="J87" s="182"/>
      <c r="K87" s="182"/>
      <c r="L87" s="182"/>
      <c r="M87" s="182"/>
      <c r="N87" s="182"/>
    </row>
    <row r="88">
      <c r="A88" s="2"/>
      <c r="B88" s="197" t="s">
        <v>340</v>
      </c>
      <c r="C88" s="198" t="s">
        <v>235</v>
      </c>
      <c r="D88" s="198" t="s">
        <v>349</v>
      </c>
      <c r="E88" s="198" t="s">
        <v>365</v>
      </c>
      <c r="F88" s="198" t="s">
        <v>350</v>
      </c>
      <c r="G88" s="198"/>
      <c r="H88" s="198"/>
      <c r="I88" s="30"/>
      <c r="J88" s="30"/>
      <c r="K88" s="30"/>
      <c r="L88" s="30"/>
      <c r="M88" s="30"/>
      <c r="N88" s="30"/>
    </row>
    <row r="89">
      <c r="A89" s="7"/>
      <c r="B89" s="96" t="s">
        <v>282</v>
      </c>
      <c r="C89" s="98" t="s">
        <v>283</v>
      </c>
      <c r="D89" s="129">
        <f>C34</f>
        <v>362</v>
      </c>
      <c r="E89" s="129">
        <f>C34</f>
        <v>362</v>
      </c>
      <c r="F89" s="129">
        <f>C34</f>
        <v>362</v>
      </c>
      <c r="G89" s="7"/>
      <c r="H89" s="7"/>
      <c r="I89" s="7"/>
      <c r="J89" s="7"/>
      <c r="K89" s="7"/>
      <c r="L89" s="7"/>
      <c r="M89" s="7"/>
      <c r="N89" s="7"/>
    </row>
    <row r="90">
      <c r="A90" s="2"/>
      <c r="B90" s="92" t="s">
        <v>367</v>
      </c>
      <c r="C90" s="94" t="s">
        <v>283</v>
      </c>
      <c r="D90" s="125">
        <f>D89*C35</f>
        <v>108.6</v>
      </c>
      <c r="E90" s="125">
        <f>E89*C36</f>
        <v>144.8</v>
      </c>
      <c r="F90" s="125">
        <f t="shared" ref="F90:F91" si="5">F89*C37</f>
        <v>289.6</v>
      </c>
      <c r="G90" s="2"/>
      <c r="H90" s="2"/>
      <c r="I90" s="2"/>
      <c r="J90" s="2"/>
      <c r="K90" s="2"/>
      <c r="L90" s="2"/>
      <c r="M90" s="2"/>
      <c r="N90" s="2"/>
    </row>
    <row r="91">
      <c r="A91" s="7"/>
      <c r="B91" s="96" t="s">
        <v>603</v>
      </c>
      <c r="C91" s="98" t="s">
        <v>283</v>
      </c>
      <c r="D91" s="56">
        <f>D90*C38</f>
        <v>43.44</v>
      </c>
      <c r="E91" s="56">
        <f>E90*C38</f>
        <v>57.92</v>
      </c>
      <c r="F91" s="56">
        <f t="shared" si="5"/>
        <v>115.84</v>
      </c>
      <c r="G91" s="7"/>
      <c r="H91" s="7"/>
      <c r="I91" s="7"/>
      <c r="J91" s="7"/>
      <c r="K91" s="7"/>
      <c r="L91" s="7"/>
      <c r="M91" s="7"/>
      <c r="N91" s="7"/>
    </row>
    <row r="92">
      <c r="A92" s="2"/>
      <c r="B92" s="92" t="s">
        <v>604</v>
      </c>
      <c r="C92" s="94" t="s">
        <v>605</v>
      </c>
      <c r="D92" s="44">
        <f t="shared" ref="D92:F92" si="6">D91*1000</f>
        <v>43440</v>
      </c>
      <c r="E92" s="44">
        <f t="shared" si="6"/>
        <v>57920</v>
      </c>
      <c r="F92" s="44">
        <f t="shared" si="6"/>
        <v>115840</v>
      </c>
      <c r="G92" s="2"/>
      <c r="H92" s="2"/>
      <c r="I92" s="2"/>
      <c r="J92" s="2"/>
      <c r="K92" s="2"/>
      <c r="L92" s="2"/>
      <c r="M92" s="2"/>
      <c r="N92" s="2"/>
    </row>
    <row r="93">
      <c r="A93" s="7"/>
      <c r="B93" s="96" t="s">
        <v>606</v>
      </c>
      <c r="C93" s="98" t="s">
        <v>299</v>
      </c>
      <c r="D93" s="20">
        <f>D92*C44/5*C39</f>
        <v>156384</v>
      </c>
      <c r="E93" s="20">
        <f>E92*C44/5*C39</f>
        <v>208512</v>
      </c>
      <c r="F93" s="20">
        <f>F92*C44/5*C39</f>
        <v>417024</v>
      </c>
      <c r="G93" s="7"/>
      <c r="H93" s="7"/>
      <c r="I93" s="7"/>
      <c r="J93" s="7"/>
      <c r="K93" s="7"/>
      <c r="L93" s="7"/>
      <c r="M93" s="7"/>
      <c r="N93" s="7"/>
    </row>
    <row r="94">
      <c r="A94" s="2"/>
      <c r="B94" s="92" t="s">
        <v>607</v>
      </c>
      <c r="C94" s="94" t="s">
        <v>299</v>
      </c>
      <c r="D94" s="26">
        <f>D92*C45/20*C40</f>
        <v>91224</v>
      </c>
      <c r="E94" s="26">
        <f>E92*C45/20*C40</f>
        <v>121632</v>
      </c>
      <c r="F94" s="26">
        <f>F92*C45/20*C40</f>
        <v>243264</v>
      </c>
      <c r="G94" s="2"/>
      <c r="H94" s="2"/>
      <c r="I94" s="2"/>
      <c r="J94" s="2"/>
      <c r="K94" s="2"/>
      <c r="L94" s="2"/>
      <c r="M94" s="2"/>
      <c r="N94" s="2"/>
    </row>
    <row r="95">
      <c r="A95" s="7"/>
      <c r="B95" s="96" t="s">
        <v>608</v>
      </c>
      <c r="C95" s="98" t="s">
        <v>299</v>
      </c>
      <c r="D95" s="20">
        <f>D92*C46/50*C41</f>
        <v>47784</v>
      </c>
      <c r="E95" s="20">
        <f>E92*C46/50*C41</f>
        <v>63712</v>
      </c>
      <c r="F95" s="20">
        <f>F92*C46/50*C41</f>
        <v>127424</v>
      </c>
      <c r="G95" s="7"/>
      <c r="H95" s="7"/>
      <c r="I95" s="7"/>
      <c r="J95" s="7"/>
      <c r="K95" s="7"/>
      <c r="L95" s="7"/>
      <c r="M95" s="7"/>
      <c r="N95" s="7"/>
    </row>
    <row r="96">
      <c r="A96" s="2"/>
      <c r="B96" s="152" t="s">
        <v>609</v>
      </c>
      <c r="C96" s="94" t="s">
        <v>299</v>
      </c>
      <c r="D96" s="22">
        <f t="shared" ref="D96:F96" si="7">D93+D94+D95</f>
        <v>295392</v>
      </c>
      <c r="E96" s="22">
        <f t="shared" si="7"/>
        <v>393856</v>
      </c>
      <c r="F96" s="22">
        <f t="shared" si="7"/>
        <v>787712</v>
      </c>
      <c r="G96" s="2"/>
      <c r="H96" s="2"/>
      <c r="I96" s="2"/>
      <c r="J96" s="2"/>
      <c r="K96" s="2"/>
      <c r="L96" s="2"/>
      <c r="M96" s="2"/>
      <c r="N96" s="2"/>
    </row>
    <row r="97">
      <c r="A97" s="7"/>
      <c r="B97" s="96" t="s">
        <v>371</v>
      </c>
      <c r="C97" s="98" t="s">
        <v>283</v>
      </c>
      <c r="D97" s="56">
        <f>D89*(1-C35)</f>
        <v>253.4</v>
      </c>
      <c r="E97" s="56">
        <f>E89*(1-C36)</f>
        <v>217.2</v>
      </c>
      <c r="F97" s="56">
        <f>F89*(1-C37)</f>
        <v>72.4</v>
      </c>
      <c r="G97" s="7"/>
      <c r="H97" s="7"/>
      <c r="I97" s="7"/>
      <c r="J97" s="7"/>
      <c r="K97" s="7"/>
      <c r="L97" s="7"/>
      <c r="M97" s="7"/>
      <c r="N97" s="7"/>
    </row>
    <row r="98">
      <c r="A98" s="2"/>
      <c r="B98" s="92" t="s">
        <v>372</v>
      </c>
      <c r="C98" s="94" t="s">
        <v>243</v>
      </c>
      <c r="D98" s="153">
        <f>C43</f>
        <v>1</v>
      </c>
      <c r="E98" s="153">
        <f>C43</f>
        <v>1</v>
      </c>
      <c r="F98" s="153">
        <f>C43</f>
        <v>1</v>
      </c>
      <c r="G98" s="2"/>
      <c r="H98" s="2"/>
      <c r="I98" s="2"/>
      <c r="J98" s="2"/>
      <c r="K98" s="2"/>
      <c r="L98" s="2"/>
      <c r="M98" s="2"/>
      <c r="N98" s="2"/>
    </row>
    <row r="99">
      <c r="A99" s="7"/>
      <c r="B99" s="96" t="s">
        <v>373</v>
      </c>
      <c r="C99" s="98" t="s">
        <v>299</v>
      </c>
      <c r="D99" s="20">
        <f t="shared" ref="D99:F99" si="8">D97*1000*D98</f>
        <v>253400</v>
      </c>
      <c r="E99" s="20">
        <f t="shared" si="8"/>
        <v>217200</v>
      </c>
      <c r="F99" s="20">
        <f t="shared" si="8"/>
        <v>72400</v>
      </c>
      <c r="G99" s="7"/>
      <c r="H99" s="7"/>
      <c r="I99" s="7"/>
      <c r="J99" s="7"/>
      <c r="K99" s="7"/>
      <c r="L99" s="7"/>
      <c r="M99" s="7"/>
      <c r="N99" s="7"/>
    </row>
    <row r="100" ht="18.75" customHeight="1">
      <c r="A100" s="132"/>
      <c r="B100" s="133" t="s">
        <v>374</v>
      </c>
      <c r="C100" s="154" t="s">
        <v>299</v>
      </c>
      <c r="D100" s="135">
        <f t="shared" ref="D100:F100" si="9">D96+D99</f>
        <v>548792</v>
      </c>
      <c r="E100" s="135">
        <f t="shared" si="9"/>
        <v>611056</v>
      </c>
      <c r="F100" s="135">
        <f t="shared" si="9"/>
        <v>860112</v>
      </c>
      <c r="G100" s="132"/>
      <c r="H100" s="132"/>
      <c r="I100" s="132"/>
      <c r="J100" s="132"/>
      <c r="K100" s="132"/>
      <c r="L100" s="132"/>
      <c r="M100" s="132"/>
      <c r="N100" s="132"/>
    </row>
    <row r="101">
      <c r="A101" s="7"/>
      <c r="B101" s="96" t="s">
        <v>375</v>
      </c>
      <c r="C101" s="98" t="s">
        <v>299</v>
      </c>
      <c r="D101" s="20">
        <f>-D100*C11</f>
        <v>-54879.2</v>
      </c>
      <c r="E101" s="20">
        <f>-E100*C11</f>
        <v>-61105.6</v>
      </c>
      <c r="F101" s="20">
        <f>-F100*C11</f>
        <v>-86011.2</v>
      </c>
      <c r="G101" s="7"/>
      <c r="H101" s="7"/>
      <c r="I101" s="7"/>
      <c r="J101" s="7"/>
      <c r="K101" s="7"/>
      <c r="L101" s="7"/>
      <c r="M101" s="7"/>
      <c r="N101" s="7"/>
    </row>
    <row r="102" ht="18.75" customHeight="1">
      <c r="A102" s="132"/>
      <c r="B102" s="133" t="s">
        <v>376</v>
      </c>
      <c r="C102" s="154" t="s">
        <v>299</v>
      </c>
      <c r="D102" s="135">
        <f t="shared" ref="D102:F102" si="10">D100+D101</f>
        <v>493912.8</v>
      </c>
      <c r="E102" s="135">
        <f t="shared" si="10"/>
        <v>549950.4</v>
      </c>
      <c r="F102" s="135">
        <f t="shared" si="10"/>
        <v>774100.8</v>
      </c>
      <c r="G102" s="132"/>
      <c r="H102" s="132"/>
      <c r="I102" s="132"/>
      <c r="J102" s="132"/>
      <c r="K102" s="132"/>
      <c r="L102" s="132"/>
      <c r="M102" s="132"/>
      <c r="N102" s="132"/>
    </row>
    <row r="103">
      <c r="A103" s="7"/>
      <c r="B103" s="149" t="s">
        <v>377</v>
      </c>
      <c r="I103" s="7"/>
      <c r="J103" s="7"/>
      <c r="K103" s="7"/>
      <c r="L103" s="7"/>
      <c r="M103" s="7"/>
      <c r="N103" s="7"/>
    </row>
    <row r="104">
      <c r="A104" s="2"/>
      <c r="B104" s="11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>
      <c r="A105" s="7"/>
      <c r="B105" s="168" t="s">
        <v>610</v>
      </c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5"/>
    </row>
    <row r="106">
      <c r="A106" s="2"/>
      <c r="B106" s="120" t="s">
        <v>379</v>
      </c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5"/>
    </row>
    <row r="107">
      <c r="A107" s="7"/>
      <c r="B107" s="193" t="s">
        <v>340</v>
      </c>
      <c r="C107" s="187" t="s">
        <v>380</v>
      </c>
      <c r="D107" s="187" t="s">
        <v>381</v>
      </c>
      <c r="E107" s="187" t="s">
        <v>382</v>
      </c>
      <c r="F107" s="187" t="s">
        <v>383</v>
      </c>
      <c r="G107" s="187" t="s">
        <v>384</v>
      </c>
      <c r="H107" s="187" t="s">
        <v>385</v>
      </c>
      <c r="I107" s="187" t="s">
        <v>386</v>
      </c>
      <c r="J107" s="187" t="s">
        <v>387</v>
      </c>
      <c r="K107" s="187" t="s">
        <v>388</v>
      </c>
      <c r="L107" s="187" t="s">
        <v>389</v>
      </c>
      <c r="M107" s="16"/>
      <c r="N107" s="16"/>
    </row>
    <row r="108">
      <c r="A108" s="2"/>
      <c r="B108" s="92" t="s">
        <v>390</v>
      </c>
      <c r="C108" s="26">
        <f>D100*12*C22</f>
        <v>3292752</v>
      </c>
      <c r="D108" s="26">
        <f>D100*12*C23</f>
        <v>4939128</v>
      </c>
      <c r="E108" s="26">
        <f>D100*12*C24</f>
        <v>6585504</v>
      </c>
      <c r="F108" s="26">
        <f>D100*12*C24</f>
        <v>6585504</v>
      </c>
      <c r="G108" s="26">
        <f>D100*12*C24</f>
        <v>6585504</v>
      </c>
      <c r="H108" s="26">
        <f>D100*12*C24</f>
        <v>6585504</v>
      </c>
      <c r="I108" s="26">
        <f>D100*12*C24</f>
        <v>6585504</v>
      </c>
      <c r="J108" s="26">
        <f>D100*12*C24</f>
        <v>6585504</v>
      </c>
      <c r="K108" s="26">
        <f>D100*12*C24</f>
        <v>6585504</v>
      </c>
      <c r="L108" s="26">
        <f>D100*12*C24</f>
        <v>6585504</v>
      </c>
      <c r="M108" s="2"/>
      <c r="N108" s="2"/>
    </row>
    <row r="109">
      <c r="A109" s="7"/>
      <c r="B109" s="96" t="s">
        <v>375</v>
      </c>
      <c r="C109" s="20">
        <f>-C108*C11</f>
        <v>-329275.2</v>
      </c>
      <c r="D109" s="20">
        <f>-D108*C11</f>
        <v>-493912.8</v>
      </c>
      <c r="E109" s="20">
        <f>-E108*C11</f>
        <v>-658550.4</v>
      </c>
      <c r="F109" s="20">
        <f>-F108*C11</f>
        <v>-658550.4</v>
      </c>
      <c r="G109" s="20">
        <f>-G108*C11</f>
        <v>-658550.4</v>
      </c>
      <c r="H109" s="20">
        <f>-H108*C11</f>
        <v>-658550.4</v>
      </c>
      <c r="I109" s="20">
        <f>-I108*C11</f>
        <v>-658550.4</v>
      </c>
      <c r="J109" s="20">
        <f>-J108*C11</f>
        <v>-658550.4</v>
      </c>
      <c r="K109" s="20">
        <f>-K108*C11</f>
        <v>-658550.4</v>
      </c>
      <c r="L109" s="20">
        <f>-L108*C11</f>
        <v>-658550.4</v>
      </c>
      <c r="M109" s="7"/>
      <c r="N109" s="7"/>
    </row>
    <row r="110">
      <c r="A110" s="2"/>
      <c r="B110" s="152" t="s">
        <v>391</v>
      </c>
      <c r="C110" s="22">
        <f t="shared" ref="C110:L110" si="11">C108+C109</f>
        <v>2963476.8</v>
      </c>
      <c r="D110" s="22">
        <f t="shared" si="11"/>
        <v>4445215.2</v>
      </c>
      <c r="E110" s="22">
        <f t="shared" si="11"/>
        <v>5926953.6</v>
      </c>
      <c r="F110" s="22">
        <f t="shared" si="11"/>
        <v>5926953.6</v>
      </c>
      <c r="G110" s="22">
        <f t="shared" si="11"/>
        <v>5926953.6</v>
      </c>
      <c r="H110" s="22">
        <f t="shared" si="11"/>
        <v>5926953.6</v>
      </c>
      <c r="I110" s="22">
        <f t="shared" si="11"/>
        <v>5926953.6</v>
      </c>
      <c r="J110" s="22">
        <f t="shared" si="11"/>
        <v>5926953.6</v>
      </c>
      <c r="K110" s="22">
        <f t="shared" si="11"/>
        <v>5926953.6</v>
      </c>
      <c r="L110" s="22">
        <f t="shared" si="11"/>
        <v>5926953.6</v>
      </c>
      <c r="M110" s="23"/>
      <c r="N110" s="23"/>
    </row>
    <row r="111">
      <c r="A111" s="7"/>
      <c r="B111" s="96" t="s">
        <v>392</v>
      </c>
      <c r="C111" s="20">
        <f>-C84*12*C22</f>
        <v>-2764238.352</v>
      </c>
      <c r="D111" s="20">
        <f>-C84*12*C23</f>
        <v>-4146357.528</v>
      </c>
      <c r="E111" s="20">
        <f>-C84*12*C24</f>
        <v>-5528476.704</v>
      </c>
      <c r="F111" s="20">
        <f>-C84*12*C24</f>
        <v>-5528476.704</v>
      </c>
      <c r="G111" s="20">
        <f>-C84*12*C24</f>
        <v>-5528476.704</v>
      </c>
      <c r="H111" s="20">
        <f>-C84*12*C24</f>
        <v>-5528476.704</v>
      </c>
      <c r="I111" s="20">
        <f>-C84*12*C24</f>
        <v>-5528476.704</v>
      </c>
      <c r="J111" s="20">
        <f>-C84*12*C24</f>
        <v>-5528476.704</v>
      </c>
      <c r="K111" s="20">
        <f>-C84*12*C24</f>
        <v>-5528476.704</v>
      </c>
      <c r="L111" s="20">
        <f>-C84*12*C24</f>
        <v>-5528476.704</v>
      </c>
      <c r="M111" s="7"/>
      <c r="N111" s="7"/>
    </row>
    <row r="112" ht="18.75" customHeight="1">
      <c r="A112" s="160"/>
      <c r="B112" s="161" t="s">
        <v>393</v>
      </c>
      <c r="C112" s="162">
        <f t="shared" ref="C112:L112" si="12">C110+C111</f>
        <v>199238.448</v>
      </c>
      <c r="D112" s="162">
        <f t="shared" si="12"/>
        <v>298857.672</v>
      </c>
      <c r="E112" s="162">
        <f t="shared" si="12"/>
        <v>398476.896</v>
      </c>
      <c r="F112" s="162">
        <f t="shared" si="12"/>
        <v>398476.896</v>
      </c>
      <c r="G112" s="162">
        <f t="shared" si="12"/>
        <v>398476.896</v>
      </c>
      <c r="H112" s="162">
        <f t="shared" si="12"/>
        <v>398476.896</v>
      </c>
      <c r="I112" s="162">
        <f t="shared" si="12"/>
        <v>398476.896</v>
      </c>
      <c r="J112" s="162">
        <f t="shared" si="12"/>
        <v>398476.896</v>
      </c>
      <c r="K112" s="162">
        <f t="shared" si="12"/>
        <v>398476.896</v>
      </c>
      <c r="L112" s="162">
        <f t="shared" si="12"/>
        <v>398476.896</v>
      </c>
      <c r="M112" s="160"/>
      <c r="N112" s="160"/>
    </row>
    <row r="113">
      <c r="A113" s="7"/>
      <c r="B113" s="96" t="s">
        <v>394</v>
      </c>
      <c r="C113" s="24">
        <f t="shared" ref="C113:L113" si="13">IF(C110=0,0,C112/C110)</f>
        <v>0.06723131695</v>
      </c>
      <c r="D113" s="24">
        <f t="shared" si="13"/>
        <v>0.06723131695</v>
      </c>
      <c r="E113" s="24">
        <f t="shared" si="13"/>
        <v>0.06723131695</v>
      </c>
      <c r="F113" s="24">
        <f t="shared" si="13"/>
        <v>0.06723131695</v>
      </c>
      <c r="G113" s="24">
        <f t="shared" si="13"/>
        <v>0.06723131695</v>
      </c>
      <c r="H113" s="24">
        <f t="shared" si="13"/>
        <v>0.06723131695</v>
      </c>
      <c r="I113" s="24">
        <f t="shared" si="13"/>
        <v>0.06723131695</v>
      </c>
      <c r="J113" s="24">
        <f t="shared" si="13"/>
        <v>0.06723131695</v>
      </c>
      <c r="K113" s="24">
        <f t="shared" si="13"/>
        <v>0.06723131695</v>
      </c>
      <c r="L113" s="24">
        <f t="shared" si="13"/>
        <v>0.06723131695</v>
      </c>
      <c r="M113" s="7"/>
      <c r="N113" s="7"/>
    </row>
    <row r="114">
      <c r="A114" s="2"/>
      <c r="B114" s="92" t="s">
        <v>395</v>
      </c>
      <c r="C114" s="26">
        <f>-(C65/C18+C66/20)</f>
        <v>-194880</v>
      </c>
      <c r="D114" s="26">
        <f>-(C65/C18+C66/20)</f>
        <v>-194880</v>
      </c>
      <c r="E114" s="26">
        <f>-(C65/C18+C66/20)</f>
        <v>-194880</v>
      </c>
      <c r="F114" s="26">
        <f>-(C65/C18+C66/20)</f>
        <v>-194880</v>
      </c>
      <c r="G114" s="26">
        <f>-(C65/C18+C66/20)</f>
        <v>-194880</v>
      </c>
      <c r="H114" s="26">
        <f>-(C65/C18+C66/20)</f>
        <v>-194880</v>
      </c>
      <c r="I114" s="26">
        <f>-(C65/C18+C66/20)</f>
        <v>-194880</v>
      </c>
      <c r="J114" s="26">
        <f>-(C65/C18+C66/20)</f>
        <v>-194880</v>
      </c>
      <c r="K114" s="26">
        <f>-(C65/C18+C66/20)</f>
        <v>-194880</v>
      </c>
      <c r="L114" s="26">
        <f>-(C65/C18+C66/20)</f>
        <v>-194880</v>
      </c>
      <c r="M114" s="2"/>
      <c r="N114" s="2"/>
    </row>
    <row r="115">
      <c r="A115" s="7"/>
      <c r="B115" s="163" t="s">
        <v>396</v>
      </c>
      <c r="C115" s="34">
        <f t="shared" ref="C115:L115" si="14">C112+C114</f>
        <v>4358.448</v>
      </c>
      <c r="D115" s="34">
        <f t="shared" si="14"/>
        <v>103977.672</v>
      </c>
      <c r="E115" s="34">
        <f t="shared" si="14"/>
        <v>203596.896</v>
      </c>
      <c r="F115" s="34">
        <f t="shared" si="14"/>
        <v>203596.896</v>
      </c>
      <c r="G115" s="34">
        <f t="shared" si="14"/>
        <v>203596.896</v>
      </c>
      <c r="H115" s="34">
        <f t="shared" si="14"/>
        <v>203596.896</v>
      </c>
      <c r="I115" s="34">
        <f t="shared" si="14"/>
        <v>203596.896</v>
      </c>
      <c r="J115" s="34">
        <f t="shared" si="14"/>
        <v>203596.896</v>
      </c>
      <c r="K115" s="34">
        <f t="shared" si="14"/>
        <v>203596.896</v>
      </c>
      <c r="L115" s="34">
        <f t="shared" si="14"/>
        <v>203596.896</v>
      </c>
      <c r="M115" s="35"/>
      <c r="N115" s="35"/>
    </row>
    <row r="116">
      <c r="A116" s="2"/>
      <c r="B116" s="92" t="s">
        <v>397</v>
      </c>
      <c r="C116" s="26">
        <f t="shared" ref="C116:L116" si="15">-D176</f>
        <v>-259601.6933</v>
      </c>
      <c r="D116" s="26">
        <f t="shared" si="15"/>
        <v>-216334.7444</v>
      </c>
      <c r="E116" s="26">
        <f t="shared" si="15"/>
        <v>-173067.7955</v>
      </c>
      <c r="F116" s="26">
        <f t="shared" si="15"/>
        <v>-129800.8466</v>
      </c>
      <c r="G116" s="26">
        <f t="shared" si="15"/>
        <v>-86533.89775</v>
      </c>
      <c r="H116" s="26">
        <f t="shared" si="15"/>
        <v>-43266.94888</v>
      </c>
      <c r="I116" s="26">
        <f t="shared" si="15"/>
        <v>0</v>
      </c>
      <c r="J116" s="26">
        <f t="shared" si="15"/>
        <v>0</v>
      </c>
      <c r="K116" s="26">
        <f t="shared" si="15"/>
        <v>0</v>
      </c>
      <c r="L116" s="26">
        <f t="shared" si="15"/>
        <v>0</v>
      </c>
      <c r="M116" s="2"/>
      <c r="N116" s="2"/>
    </row>
    <row r="117">
      <c r="A117" s="7"/>
      <c r="B117" s="96" t="s">
        <v>398</v>
      </c>
      <c r="C117" s="20">
        <f t="shared" ref="C117:L117" si="16">C115+C116</f>
        <v>-255243.2453</v>
      </c>
      <c r="D117" s="20">
        <f t="shared" si="16"/>
        <v>-112357.0724</v>
      </c>
      <c r="E117" s="20">
        <f t="shared" si="16"/>
        <v>30529.1005</v>
      </c>
      <c r="F117" s="20">
        <f t="shared" si="16"/>
        <v>73796.04937</v>
      </c>
      <c r="G117" s="20">
        <f t="shared" si="16"/>
        <v>117062.9982</v>
      </c>
      <c r="H117" s="20">
        <f t="shared" si="16"/>
        <v>160329.9471</v>
      </c>
      <c r="I117" s="20">
        <f t="shared" si="16"/>
        <v>203596.896</v>
      </c>
      <c r="J117" s="20">
        <f t="shared" si="16"/>
        <v>203596.896</v>
      </c>
      <c r="K117" s="20">
        <f t="shared" si="16"/>
        <v>203596.896</v>
      </c>
      <c r="L117" s="20">
        <f t="shared" si="16"/>
        <v>203596.896</v>
      </c>
      <c r="M117" s="7"/>
      <c r="N117" s="7"/>
    </row>
    <row r="118">
      <c r="A118" s="2"/>
      <c r="B118" s="92" t="s">
        <v>399</v>
      </c>
      <c r="C118" s="26">
        <f>-MAX(0,C117)*C15</f>
        <v>0</v>
      </c>
      <c r="D118" s="26">
        <f>-MAX(0,D117)*C15</f>
        <v>0</v>
      </c>
      <c r="E118" s="26">
        <f>-MAX(0,E117)*C15</f>
        <v>-9158.730149</v>
      </c>
      <c r="F118" s="26">
        <f>-MAX(0,F117)*C15</f>
        <v>-22138.81481</v>
      </c>
      <c r="G118" s="26">
        <f>-MAX(0,G117)*C15</f>
        <v>-35118.89947</v>
      </c>
      <c r="H118" s="26">
        <f>-MAX(0,H117)*C15</f>
        <v>-48098.98414</v>
      </c>
      <c r="I118" s="26">
        <f>-MAX(0,I117)*C15</f>
        <v>-61079.0688</v>
      </c>
      <c r="J118" s="26">
        <f>-MAX(0,J117)*C15</f>
        <v>-61079.0688</v>
      </c>
      <c r="K118" s="26">
        <f>-MAX(0,K117)*C15</f>
        <v>-61079.0688</v>
      </c>
      <c r="L118" s="26">
        <f>-MAX(0,L117)*C15</f>
        <v>-61079.0688</v>
      </c>
      <c r="M118" s="2"/>
      <c r="N118" s="2"/>
    </row>
    <row r="119">
      <c r="A119" s="7"/>
      <c r="B119" s="96" t="s">
        <v>400</v>
      </c>
      <c r="C119" s="20">
        <f>-MAX(0,C117)*C16</f>
        <v>0</v>
      </c>
      <c r="D119" s="20">
        <f>-MAX(0,D117)*C16</f>
        <v>0</v>
      </c>
      <c r="E119" s="20">
        <f>-MAX(0,E117)*C16</f>
        <v>-3052.91005</v>
      </c>
      <c r="F119" s="20">
        <f>-MAX(0,F117)*C16</f>
        <v>-7379.604937</v>
      </c>
      <c r="G119" s="20">
        <f>-MAX(0,G117)*C16</f>
        <v>-11706.29982</v>
      </c>
      <c r="H119" s="20">
        <f>-MAX(0,H117)*C16</f>
        <v>-16032.99471</v>
      </c>
      <c r="I119" s="20">
        <f>-MAX(0,I117)*C16</f>
        <v>-20359.6896</v>
      </c>
      <c r="J119" s="20">
        <f>-MAX(0,J117)*C16</f>
        <v>-20359.6896</v>
      </c>
      <c r="K119" s="20">
        <f>-MAX(0,K117)*C16</f>
        <v>-20359.6896</v>
      </c>
      <c r="L119" s="20">
        <f>-MAX(0,L117)*C16</f>
        <v>-20359.6896</v>
      </c>
      <c r="M119" s="7"/>
      <c r="N119" s="7"/>
    </row>
    <row r="120" ht="18.75" customHeight="1">
      <c r="A120" s="160"/>
      <c r="B120" s="161" t="s">
        <v>401</v>
      </c>
      <c r="C120" s="162">
        <f t="shared" ref="C120:L120" si="17">C117+C118+C119</f>
        <v>-255243.2453</v>
      </c>
      <c r="D120" s="162">
        <f t="shared" si="17"/>
        <v>-112357.0724</v>
      </c>
      <c r="E120" s="162">
        <f t="shared" si="17"/>
        <v>18317.4603</v>
      </c>
      <c r="F120" s="162">
        <f t="shared" si="17"/>
        <v>44277.62962</v>
      </c>
      <c r="G120" s="162">
        <f t="shared" si="17"/>
        <v>70237.79895</v>
      </c>
      <c r="H120" s="162">
        <f t="shared" si="17"/>
        <v>96197.96827</v>
      </c>
      <c r="I120" s="162">
        <f t="shared" si="17"/>
        <v>122158.1376</v>
      </c>
      <c r="J120" s="162">
        <f t="shared" si="17"/>
        <v>122158.1376</v>
      </c>
      <c r="K120" s="162">
        <f t="shared" si="17"/>
        <v>122158.1376</v>
      </c>
      <c r="L120" s="162">
        <f t="shared" si="17"/>
        <v>122158.1376</v>
      </c>
      <c r="M120" s="160"/>
      <c r="N120" s="160"/>
    </row>
    <row r="121">
      <c r="A121" s="7"/>
      <c r="B121" s="96" t="s">
        <v>402</v>
      </c>
      <c r="C121" s="20">
        <f>-MAX(0,C120)*C17</f>
        <v>0</v>
      </c>
      <c r="D121" s="20">
        <f>-MAX(0,D120)*C17</f>
        <v>0</v>
      </c>
      <c r="E121" s="20">
        <f>-MAX(0,E120)*C17</f>
        <v>-915.8730149</v>
      </c>
      <c r="F121" s="20">
        <f>-MAX(0,F120)*C17</f>
        <v>-2213.881481</v>
      </c>
      <c r="G121" s="20">
        <f>-MAX(0,G120)*C17</f>
        <v>-3511.889947</v>
      </c>
      <c r="H121" s="20">
        <f>-MAX(0,H120)*C17</f>
        <v>-4809.898414</v>
      </c>
      <c r="I121" s="20">
        <f>-MAX(0,I120)*C17</f>
        <v>-6107.90688</v>
      </c>
      <c r="J121" s="20">
        <f>-MAX(0,J120)*C17</f>
        <v>-6107.90688</v>
      </c>
      <c r="K121" s="20">
        <f>-MAX(0,K120)*C17</f>
        <v>-6107.90688</v>
      </c>
      <c r="L121" s="20">
        <f>-MAX(0,L120)*C17</f>
        <v>-6107.90688</v>
      </c>
      <c r="M121" s="7"/>
      <c r="N121" s="7"/>
    </row>
    <row r="122" ht="18.75" customHeight="1">
      <c r="A122" s="160"/>
      <c r="B122" s="161" t="s">
        <v>403</v>
      </c>
      <c r="C122" s="162">
        <f t="shared" ref="C122:L122" si="18">C120+C121</f>
        <v>-255243.2453</v>
      </c>
      <c r="D122" s="162">
        <f t="shared" si="18"/>
        <v>-112357.0724</v>
      </c>
      <c r="E122" s="162">
        <f t="shared" si="18"/>
        <v>17401.58728</v>
      </c>
      <c r="F122" s="162">
        <f t="shared" si="18"/>
        <v>42063.74814</v>
      </c>
      <c r="G122" s="162">
        <f t="shared" si="18"/>
        <v>66725.909</v>
      </c>
      <c r="H122" s="162">
        <f t="shared" si="18"/>
        <v>91388.06986</v>
      </c>
      <c r="I122" s="162">
        <f t="shared" si="18"/>
        <v>116050.2307</v>
      </c>
      <c r="J122" s="162">
        <f t="shared" si="18"/>
        <v>116050.2307</v>
      </c>
      <c r="K122" s="162">
        <f t="shared" si="18"/>
        <v>116050.2307</v>
      </c>
      <c r="L122" s="162">
        <f t="shared" si="18"/>
        <v>116050.2307</v>
      </c>
      <c r="M122" s="160"/>
      <c r="N122" s="160"/>
    </row>
    <row r="123">
      <c r="A123" s="7"/>
      <c r="B123" s="13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</row>
    <row r="124">
      <c r="A124" s="2"/>
      <c r="B124" s="120" t="s">
        <v>404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5"/>
    </row>
    <row r="125">
      <c r="A125" s="7"/>
      <c r="B125" s="193" t="s">
        <v>340</v>
      </c>
      <c r="C125" s="187" t="s">
        <v>380</v>
      </c>
      <c r="D125" s="187" t="s">
        <v>381</v>
      </c>
      <c r="E125" s="187" t="s">
        <v>382</v>
      </c>
      <c r="F125" s="187" t="s">
        <v>383</v>
      </c>
      <c r="G125" s="187" t="s">
        <v>384</v>
      </c>
      <c r="H125" s="187" t="s">
        <v>385</v>
      </c>
      <c r="I125" s="187" t="s">
        <v>386</v>
      </c>
      <c r="J125" s="187" t="s">
        <v>387</v>
      </c>
      <c r="K125" s="187" t="s">
        <v>388</v>
      </c>
      <c r="L125" s="187" t="s">
        <v>389</v>
      </c>
      <c r="M125" s="16"/>
      <c r="N125" s="16"/>
    </row>
    <row r="126">
      <c r="A126" s="2"/>
      <c r="B126" s="92" t="s">
        <v>390</v>
      </c>
      <c r="C126" s="26">
        <f>E100*12*C22</f>
        <v>3666336</v>
      </c>
      <c r="D126" s="26">
        <f>E100*12*C23</f>
        <v>5499504</v>
      </c>
      <c r="E126" s="26">
        <f>E100*12*C24</f>
        <v>7332672</v>
      </c>
      <c r="F126" s="26">
        <f>E100*12*C24</f>
        <v>7332672</v>
      </c>
      <c r="G126" s="26">
        <f>E100*12*C24</f>
        <v>7332672</v>
      </c>
      <c r="H126" s="26">
        <f>E100*12*C24</f>
        <v>7332672</v>
      </c>
      <c r="I126" s="26">
        <f>E100*12*C24</f>
        <v>7332672</v>
      </c>
      <c r="J126" s="26">
        <f>E100*12*C24</f>
        <v>7332672</v>
      </c>
      <c r="K126" s="26">
        <f>E100*12*C24</f>
        <v>7332672</v>
      </c>
      <c r="L126" s="26">
        <f>E100*12*C24</f>
        <v>7332672</v>
      </c>
      <c r="M126" s="2"/>
      <c r="N126" s="2"/>
    </row>
    <row r="127">
      <c r="A127" s="7"/>
      <c r="B127" s="96" t="s">
        <v>375</v>
      </c>
      <c r="C127" s="20">
        <f>-C126*C11</f>
        <v>-366633.6</v>
      </c>
      <c r="D127" s="20">
        <f>-D126*C11</f>
        <v>-549950.4</v>
      </c>
      <c r="E127" s="20">
        <f>-E126*C11</f>
        <v>-733267.2</v>
      </c>
      <c r="F127" s="20">
        <f>-F126*C11</f>
        <v>-733267.2</v>
      </c>
      <c r="G127" s="20">
        <f>-G126*C11</f>
        <v>-733267.2</v>
      </c>
      <c r="H127" s="20">
        <f>-H126*C11</f>
        <v>-733267.2</v>
      </c>
      <c r="I127" s="20">
        <f>-I126*C11</f>
        <v>-733267.2</v>
      </c>
      <c r="J127" s="20">
        <f>-J126*C11</f>
        <v>-733267.2</v>
      </c>
      <c r="K127" s="20">
        <f>-K126*C11</f>
        <v>-733267.2</v>
      </c>
      <c r="L127" s="20">
        <f>-L126*C11</f>
        <v>-733267.2</v>
      </c>
      <c r="M127" s="7"/>
      <c r="N127" s="7"/>
    </row>
    <row r="128">
      <c r="A128" s="2"/>
      <c r="B128" s="152" t="s">
        <v>391</v>
      </c>
      <c r="C128" s="22">
        <f t="shared" ref="C128:L128" si="19">C126+C127</f>
        <v>3299702.4</v>
      </c>
      <c r="D128" s="22">
        <f t="shared" si="19"/>
        <v>4949553.6</v>
      </c>
      <c r="E128" s="22">
        <f t="shared" si="19"/>
        <v>6599404.8</v>
      </c>
      <c r="F128" s="22">
        <f t="shared" si="19"/>
        <v>6599404.8</v>
      </c>
      <c r="G128" s="22">
        <f t="shared" si="19"/>
        <v>6599404.8</v>
      </c>
      <c r="H128" s="22">
        <f t="shared" si="19"/>
        <v>6599404.8</v>
      </c>
      <c r="I128" s="22">
        <f t="shared" si="19"/>
        <v>6599404.8</v>
      </c>
      <c r="J128" s="22">
        <f t="shared" si="19"/>
        <v>6599404.8</v>
      </c>
      <c r="K128" s="22">
        <f t="shared" si="19"/>
        <v>6599404.8</v>
      </c>
      <c r="L128" s="22">
        <f t="shared" si="19"/>
        <v>6599404.8</v>
      </c>
      <c r="M128" s="23"/>
      <c r="N128" s="23"/>
    </row>
    <row r="129">
      <c r="A129" s="7"/>
      <c r="B129" s="96" t="s">
        <v>392</v>
      </c>
      <c r="C129" s="20">
        <f>-C84*12*C22</f>
        <v>-2764238.352</v>
      </c>
      <c r="D129" s="20">
        <f>-C84*12*C23</f>
        <v>-4146357.528</v>
      </c>
      <c r="E129" s="20">
        <f>-C84*12*C24</f>
        <v>-5528476.704</v>
      </c>
      <c r="F129" s="20">
        <f>-C84*12*C24</f>
        <v>-5528476.704</v>
      </c>
      <c r="G129" s="20">
        <f>-C84*12*C24</f>
        <v>-5528476.704</v>
      </c>
      <c r="H129" s="20">
        <f>-C84*12*C24</f>
        <v>-5528476.704</v>
      </c>
      <c r="I129" s="20">
        <f>-C84*12*C24</f>
        <v>-5528476.704</v>
      </c>
      <c r="J129" s="20">
        <f>-C84*12*C24</f>
        <v>-5528476.704</v>
      </c>
      <c r="K129" s="20">
        <f>-C84*12*C24</f>
        <v>-5528476.704</v>
      </c>
      <c r="L129" s="20">
        <f>-C84*12*C24</f>
        <v>-5528476.704</v>
      </c>
      <c r="M129" s="7"/>
      <c r="N129" s="7"/>
    </row>
    <row r="130" ht="18.75" customHeight="1">
      <c r="A130" s="160"/>
      <c r="B130" s="161" t="s">
        <v>393</v>
      </c>
      <c r="C130" s="162">
        <f t="shared" ref="C130:L130" si="20">C128+C129</f>
        <v>535464.048</v>
      </c>
      <c r="D130" s="162">
        <f t="shared" si="20"/>
        <v>803196.072</v>
      </c>
      <c r="E130" s="162">
        <f t="shared" si="20"/>
        <v>1070928.096</v>
      </c>
      <c r="F130" s="162">
        <f t="shared" si="20"/>
        <v>1070928.096</v>
      </c>
      <c r="G130" s="162">
        <f t="shared" si="20"/>
        <v>1070928.096</v>
      </c>
      <c r="H130" s="162">
        <f t="shared" si="20"/>
        <v>1070928.096</v>
      </c>
      <c r="I130" s="162">
        <f t="shared" si="20"/>
        <v>1070928.096</v>
      </c>
      <c r="J130" s="162">
        <f t="shared" si="20"/>
        <v>1070928.096</v>
      </c>
      <c r="K130" s="162">
        <f t="shared" si="20"/>
        <v>1070928.096</v>
      </c>
      <c r="L130" s="162">
        <f t="shared" si="20"/>
        <v>1070928.096</v>
      </c>
      <c r="M130" s="160"/>
      <c r="N130" s="160"/>
    </row>
    <row r="131">
      <c r="A131" s="7"/>
      <c r="B131" s="96" t="s">
        <v>394</v>
      </c>
      <c r="C131" s="24">
        <f t="shared" ref="C131:L131" si="21">IF(C128=0,0,C130/C128)</f>
        <v>0.1622764671</v>
      </c>
      <c r="D131" s="24">
        <f t="shared" si="21"/>
        <v>0.1622764671</v>
      </c>
      <c r="E131" s="24">
        <f t="shared" si="21"/>
        <v>0.1622764671</v>
      </c>
      <c r="F131" s="24">
        <f t="shared" si="21"/>
        <v>0.1622764671</v>
      </c>
      <c r="G131" s="24">
        <f t="shared" si="21"/>
        <v>0.1622764671</v>
      </c>
      <c r="H131" s="24">
        <f t="shared" si="21"/>
        <v>0.1622764671</v>
      </c>
      <c r="I131" s="24">
        <f t="shared" si="21"/>
        <v>0.1622764671</v>
      </c>
      <c r="J131" s="24">
        <f t="shared" si="21"/>
        <v>0.1622764671</v>
      </c>
      <c r="K131" s="24">
        <f t="shared" si="21"/>
        <v>0.1622764671</v>
      </c>
      <c r="L131" s="24">
        <f t="shared" si="21"/>
        <v>0.1622764671</v>
      </c>
      <c r="M131" s="7"/>
      <c r="N131" s="7"/>
    </row>
    <row r="132">
      <c r="A132" s="2"/>
      <c r="B132" s="92" t="s">
        <v>395</v>
      </c>
      <c r="C132" s="26">
        <f>-(C65/C18+C66/20)</f>
        <v>-194880</v>
      </c>
      <c r="D132" s="26">
        <f>-(C65/C18+C66/20)</f>
        <v>-194880</v>
      </c>
      <c r="E132" s="26">
        <f>-(C65/C18+C66/20)</f>
        <v>-194880</v>
      </c>
      <c r="F132" s="26">
        <f>-(C65/C18+C66/20)</f>
        <v>-194880</v>
      </c>
      <c r="G132" s="26">
        <f>-(C65/C18+C66/20)</f>
        <v>-194880</v>
      </c>
      <c r="H132" s="26">
        <f>-(C65/C18+C66/20)</f>
        <v>-194880</v>
      </c>
      <c r="I132" s="26">
        <f>-(C65/C18+C66/20)</f>
        <v>-194880</v>
      </c>
      <c r="J132" s="26">
        <f>-(C65/C18+C66/20)</f>
        <v>-194880</v>
      </c>
      <c r="K132" s="26">
        <f>-(C65/C18+C66/20)</f>
        <v>-194880</v>
      </c>
      <c r="L132" s="26">
        <f>-(C65/C18+C66/20)</f>
        <v>-194880</v>
      </c>
      <c r="M132" s="2"/>
      <c r="N132" s="2"/>
    </row>
    <row r="133">
      <c r="A133" s="7"/>
      <c r="B133" s="163" t="s">
        <v>396</v>
      </c>
      <c r="C133" s="34">
        <f t="shared" ref="C133:L133" si="22">C130+C132</f>
        <v>340584.048</v>
      </c>
      <c r="D133" s="34">
        <f t="shared" si="22"/>
        <v>608316.072</v>
      </c>
      <c r="E133" s="34">
        <f t="shared" si="22"/>
        <v>876048.096</v>
      </c>
      <c r="F133" s="34">
        <f t="shared" si="22"/>
        <v>876048.096</v>
      </c>
      <c r="G133" s="34">
        <f t="shared" si="22"/>
        <v>876048.096</v>
      </c>
      <c r="H133" s="34">
        <f t="shared" si="22"/>
        <v>876048.096</v>
      </c>
      <c r="I133" s="34">
        <f t="shared" si="22"/>
        <v>876048.096</v>
      </c>
      <c r="J133" s="34">
        <f t="shared" si="22"/>
        <v>876048.096</v>
      </c>
      <c r="K133" s="34">
        <f t="shared" si="22"/>
        <v>876048.096</v>
      </c>
      <c r="L133" s="34">
        <f t="shared" si="22"/>
        <v>876048.096</v>
      </c>
      <c r="M133" s="35"/>
      <c r="N133" s="35"/>
    </row>
    <row r="134">
      <c r="A134" s="2"/>
      <c r="B134" s="92" t="s">
        <v>397</v>
      </c>
      <c r="C134" s="26">
        <f t="shared" ref="C134:L134" si="23">-D190</f>
        <v>-259601.6933</v>
      </c>
      <c r="D134" s="26">
        <f t="shared" si="23"/>
        <v>-216334.7444</v>
      </c>
      <c r="E134" s="26">
        <f t="shared" si="23"/>
        <v>-173067.7955</v>
      </c>
      <c r="F134" s="26">
        <f t="shared" si="23"/>
        <v>-129800.8466</v>
      </c>
      <c r="G134" s="26">
        <f t="shared" si="23"/>
        <v>-86533.89775</v>
      </c>
      <c r="H134" s="26">
        <f t="shared" si="23"/>
        <v>-43266.94888</v>
      </c>
      <c r="I134" s="26">
        <f t="shared" si="23"/>
        <v>0</v>
      </c>
      <c r="J134" s="26">
        <f t="shared" si="23"/>
        <v>0</v>
      </c>
      <c r="K134" s="26">
        <f t="shared" si="23"/>
        <v>0</v>
      </c>
      <c r="L134" s="26">
        <f t="shared" si="23"/>
        <v>0</v>
      </c>
      <c r="M134" s="2"/>
      <c r="N134" s="2"/>
    </row>
    <row r="135">
      <c r="A135" s="7"/>
      <c r="B135" s="96" t="s">
        <v>398</v>
      </c>
      <c r="C135" s="20">
        <f t="shared" ref="C135:L135" si="24">C133+C134</f>
        <v>80982.35474</v>
      </c>
      <c r="D135" s="20">
        <f t="shared" si="24"/>
        <v>391981.3276</v>
      </c>
      <c r="E135" s="20">
        <f t="shared" si="24"/>
        <v>702980.3005</v>
      </c>
      <c r="F135" s="20">
        <f t="shared" si="24"/>
        <v>746247.2494</v>
      </c>
      <c r="G135" s="20">
        <f t="shared" si="24"/>
        <v>789514.1982</v>
      </c>
      <c r="H135" s="20">
        <f t="shared" si="24"/>
        <v>832781.1471</v>
      </c>
      <c r="I135" s="20">
        <f t="shared" si="24"/>
        <v>876048.096</v>
      </c>
      <c r="J135" s="20">
        <f t="shared" si="24"/>
        <v>876048.096</v>
      </c>
      <c r="K135" s="20">
        <f t="shared" si="24"/>
        <v>876048.096</v>
      </c>
      <c r="L135" s="20">
        <f t="shared" si="24"/>
        <v>876048.096</v>
      </c>
      <c r="M135" s="7"/>
      <c r="N135" s="7"/>
    </row>
    <row r="136">
      <c r="A136" s="2"/>
      <c r="B136" s="92" t="s">
        <v>399</v>
      </c>
      <c r="C136" s="26">
        <f>-MAX(0,C135)*C15</f>
        <v>-24294.70642</v>
      </c>
      <c r="D136" s="26">
        <f>-MAX(0,D135)*C15</f>
        <v>-117594.3983</v>
      </c>
      <c r="E136" s="26">
        <f>-MAX(0,E135)*C15</f>
        <v>-210894.0901</v>
      </c>
      <c r="F136" s="26">
        <f>-MAX(0,F135)*C15</f>
        <v>-223874.1748</v>
      </c>
      <c r="G136" s="26">
        <f>-MAX(0,G135)*C15</f>
        <v>-236854.2595</v>
      </c>
      <c r="H136" s="26">
        <f>-MAX(0,H135)*C15</f>
        <v>-249834.3441</v>
      </c>
      <c r="I136" s="26">
        <f>-MAX(0,I135)*C15</f>
        <v>-262814.4288</v>
      </c>
      <c r="J136" s="26">
        <f>-MAX(0,J135)*C15</f>
        <v>-262814.4288</v>
      </c>
      <c r="K136" s="26">
        <f>-MAX(0,K135)*C15</f>
        <v>-262814.4288</v>
      </c>
      <c r="L136" s="26">
        <f>-MAX(0,L135)*C15</f>
        <v>-262814.4288</v>
      </c>
      <c r="M136" s="2"/>
      <c r="N136" s="2"/>
    </row>
    <row r="137">
      <c r="A137" s="7"/>
      <c r="B137" s="96" t="s">
        <v>400</v>
      </c>
      <c r="C137" s="20">
        <f>-MAX(0,C135)*C16</f>
        <v>-8098.235474</v>
      </c>
      <c r="D137" s="20">
        <f>-MAX(0,D135)*C16</f>
        <v>-39198.13276</v>
      </c>
      <c r="E137" s="20">
        <f>-MAX(0,E135)*C16</f>
        <v>-70298.03005</v>
      </c>
      <c r="F137" s="20">
        <f>-MAX(0,F135)*C16</f>
        <v>-74624.72494</v>
      </c>
      <c r="G137" s="20">
        <f>-MAX(0,G135)*C16</f>
        <v>-78951.41982</v>
      </c>
      <c r="H137" s="20">
        <f>-MAX(0,H135)*C16</f>
        <v>-83278.11471</v>
      </c>
      <c r="I137" s="20">
        <f>-MAX(0,I135)*C16</f>
        <v>-87604.8096</v>
      </c>
      <c r="J137" s="20">
        <f>-MAX(0,J135)*C16</f>
        <v>-87604.8096</v>
      </c>
      <c r="K137" s="20">
        <f>-MAX(0,K135)*C16</f>
        <v>-87604.8096</v>
      </c>
      <c r="L137" s="20">
        <f>-MAX(0,L135)*C16</f>
        <v>-87604.8096</v>
      </c>
      <c r="M137" s="7"/>
      <c r="N137" s="7"/>
    </row>
    <row r="138" ht="18.75" customHeight="1">
      <c r="A138" s="160"/>
      <c r="B138" s="161" t="s">
        <v>401</v>
      </c>
      <c r="C138" s="162">
        <f t="shared" ref="C138:L138" si="25">C135+C136+C137</f>
        <v>48589.41285</v>
      </c>
      <c r="D138" s="162">
        <f t="shared" si="25"/>
        <v>235188.7966</v>
      </c>
      <c r="E138" s="162">
        <f t="shared" si="25"/>
        <v>421788.1803</v>
      </c>
      <c r="F138" s="162">
        <f t="shared" si="25"/>
        <v>447748.3496</v>
      </c>
      <c r="G138" s="162">
        <f t="shared" si="25"/>
        <v>473708.5189</v>
      </c>
      <c r="H138" s="162">
        <f t="shared" si="25"/>
        <v>499668.6883</v>
      </c>
      <c r="I138" s="162">
        <f t="shared" si="25"/>
        <v>525628.8576</v>
      </c>
      <c r="J138" s="162">
        <f t="shared" si="25"/>
        <v>525628.8576</v>
      </c>
      <c r="K138" s="162">
        <f t="shared" si="25"/>
        <v>525628.8576</v>
      </c>
      <c r="L138" s="162">
        <f t="shared" si="25"/>
        <v>525628.8576</v>
      </c>
      <c r="M138" s="160"/>
      <c r="N138" s="160"/>
    </row>
    <row r="139">
      <c r="A139" s="7"/>
      <c r="B139" s="96" t="s">
        <v>402</v>
      </c>
      <c r="C139" s="20">
        <f>-MAX(0,C138)*C17</f>
        <v>-2429.470642</v>
      </c>
      <c r="D139" s="20">
        <f>-MAX(0,D138)*C17</f>
        <v>-11759.43983</v>
      </c>
      <c r="E139" s="20">
        <f>-MAX(0,E138)*C17</f>
        <v>-21089.40901</v>
      </c>
      <c r="F139" s="20">
        <f>-MAX(0,F138)*C17</f>
        <v>-22387.41748</v>
      </c>
      <c r="G139" s="20">
        <f>-MAX(0,G138)*C17</f>
        <v>-23685.42595</v>
      </c>
      <c r="H139" s="20">
        <f>-MAX(0,H138)*C17</f>
        <v>-24983.43441</v>
      </c>
      <c r="I139" s="20">
        <f>-MAX(0,I138)*C17</f>
        <v>-26281.44288</v>
      </c>
      <c r="J139" s="20">
        <f>-MAX(0,J138)*C17</f>
        <v>-26281.44288</v>
      </c>
      <c r="K139" s="20">
        <f>-MAX(0,K138)*C17</f>
        <v>-26281.44288</v>
      </c>
      <c r="L139" s="20">
        <f>-MAX(0,L138)*C17</f>
        <v>-26281.44288</v>
      </c>
      <c r="M139" s="7"/>
      <c r="N139" s="7"/>
    </row>
    <row r="140" ht="18.75" customHeight="1">
      <c r="A140" s="160"/>
      <c r="B140" s="161" t="s">
        <v>403</v>
      </c>
      <c r="C140" s="162">
        <f t="shared" ref="C140:L140" si="26">C138+C139</f>
        <v>46159.9422</v>
      </c>
      <c r="D140" s="162">
        <f t="shared" si="26"/>
        <v>223429.3567</v>
      </c>
      <c r="E140" s="162">
        <f t="shared" si="26"/>
        <v>400698.7713</v>
      </c>
      <c r="F140" s="162">
        <f t="shared" si="26"/>
        <v>425360.9321</v>
      </c>
      <c r="G140" s="162">
        <f t="shared" si="26"/>
        <v>450023.093</v>
      </c>
      <c r="H140" s="162">
        <f t="shared" si="26"/>
        <v>474685.2539</v>
      </c>
      <c r="I140" s="162">
        <f t="shared" si="26"/>
        <v>499347.4147</v>
      </c>
      <c r="J140" s="162">
        <f t="shared" si="26"/>
        <v>499347.4147</v>
      </c>
      <c r="K140" s="162">
        <f t="shared" si="26"/>
        <v>499347.4147</v>
      </c>
      <c r="L140" s="162">
        <f t="shared" si="26"/>
        <v>499347.4147</v>
      </c>
      <c r="M140" s="160"/>
      <c r="N140" s="160"/>
    </row>
    <row r="141">
      <c r="A141" s="7"/>
      <c r="B141" s="13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</row>
    <row r="142">
      <c r="A142" s="2"/>
      <c r="B142" s="120" t="s">
        <v>405</v>
      </c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5"/>
    </row>
    <row r="143">
      <c r="A143" s="7"/>
      <c r="B143" s="193" t="s">
        <v>340</v>
      </c>
      <c r="C143" s="187" t="s">
        <v>380</v>
      </c>
      <c r="D143" s="187" t="s">
        <v>381</v>
      </c>
      <c r="E143" s="187" t="s">
        <v>382</v>
      </c>
      <c r="F143" s="187" t="s">
        <v>383</v>
      </c>
      <c r="G143" s="187" t="s">
        <v>384</v>
      </c>
      <c r="H143" s="187" t="s">
        <v>385</v>
      </c>
      <c r="I143" s="187" t="s">
        <v>386</v>
      </c>
      <c r="J143" s="187" t="s">
        <v>387</v>
      </c>
      <c r="K143" s="187" t="s">
        <v>388</v>
      </c>
      <c r="L143" s="187" t="s">
        <v>389</v>
      </c>
      <c r="M143" s="16"/>
      <c r="N143" s="16"/>
    </row>
    <row r="144">
      <c r="A144" s="2"/>
      <c r="B144" s="92" t="s">
        <v>390</v>
      </c>
      <c r="C144" s="26">
        <f>F100*12*C22</f>
        <v>5160672</v>
      </c>
      <c r="D144" s="26">
        <f>F100*12*C23</f>
        <v>7741008</v>
      </c>
      <c r="E144" s="26">
        <f>F100*12*C24</f>
        <v>10321344</v>
      </c>
      <c r="F144" s="26">
        <f>F100*12*C24</f>
        <v>10321344</v>
      </c>
      <c r="G144" s="26">
        <f>F100*12*C24</f>
        <v>10321344</v>
      </c>
      <c r="H144" s="26">
        <f>F100*12*C24</f>
        <v>10321344</v>
      </c>
      <c r="I144" s="26">
        <f>F100*12*C24</f>
        <v>10321344</v>
      </c>
      <c r="J144" s="26">
        <f>F100*12*C24</f>
        <v>10321344</v>
      </c>
      <c r="K144" s="26">
        <f>F100*12*C24</f>
        <v>10321344</v>
      </c>
      <c r="L144" s="26">
        <f>F100*12*C24</f>
        <v>10321344</v>
      </c>
      <c r="M144" s="2"/>
      <c r="N144" s="2"/>
    </row>
    <row r="145">
      <c r="A145" s="7"/>
      <c r="B145" s="96" t="s">
        <v>375</v>
      </c>
      <c r="C145" s="20">
        <f>-C144*C11</f>
        <v>-516067.2</v>
      </c>
      <c r="D145" s="20">
        <f>-D144*C11</f>
        <v>-774100.8</v>
      </c>
      <c r="E145" s="20">
        <f>-E144*C11</f>
        <v>-1032134.4</v>
      </c>
      <c r="F145" s="20">
        <f>-F144*C11</f>
        <v>-1032134.4</v>
      </c>
      <c r="G145" s="20">
        <f>-G144*C11</f>
        <v>-1032134.4</v>
      </c>
      <c r="H145" s="20">
        <f>-H144*C11</f>
        <v>-1032134.4</v>
      </c>
      <c r="I145" s="20">
        <f>-I144*C11</f>
        <v>-1032134.4</v>
      </c>
      <c r="J145" s="20">
        <f>-J144*C11</f>
        <v>-1032134.4</v>
      </c>
      <c r="K145" s="20">
        <f>-K144*C11</f>
        <v>-1032134.4</v>
      </c>
      <c r="L145" s="20">
        <f>-L144*C11</f>
        <v>-1032134.4</v>
      </c>
      <c r="M145" s="7"/>
      <c r="N145" s="7"/>
    </row>
    <row r="146">
      <c r="A146" s="2"/>
      <c r="B146" s="152" t="s">
        <v>391</v>
      </c>
      <c r="C146" s="22">
        <f t="shared" ref="C146:L146" si="27">C144+C145</f>
        <v>4644604.8</v>
      </c>
      <c r="D146" s="22">
        <f t="shared" si="27"/>
        <v>6966907.2</v>
      </c>
      <c r="E146" s="22">
        <f t="shared" si="27"/>
        <v>9289209.6</v>
      </c>
      <c r="F146" s="22">
        <f t="shared" si="27"/>
        <v>9289209.6</v>
      </c>
      <c r="G146" s="22">
        <f t="shared" si="27"/>
        <v>9289209.6</v>
      </c>
      <c r="H146" s="22">
        <f t="shared" si="27"/>
        <v>9289209.6</v>
      </c>
      <c r="I146" s="22">
        <f t="shared" si="27"/>
        <v>9289209.6</v>
      </c>
      <c r="J146" s="22">
        <f t="shared" si="27"/>
        <v>9289209.6</v>
      </c>
      <c r="K146" s="22">
        <f t="shared" si="27"/>
        <v>9289209.6</v>
      </c>
      <c r="L146" s="22">
        <f t="shared" si="27"/>
        <v>9289209.6</v>
      </c>
      <c r="M146" s="23"/>
      <c r="N146" s="23"/>
    </row>
    <row r="147">
      <c r="A147" s="7"/>
      <c r="B147" s="96" t="s">
        <v>392</v>
      </c>
      <c r="C147" s="20">
        <f>-C84*12*C22</f>
        <v>-2764238.352</v>
      </c>
      <c r="D147" s="20">
        <f>-C84*12*C23</f>
        <v>-4146357.528</v>
      </c>
      <c r="E147" s="20">
        <f>-C84*12*C24</f>
        <v>-5528476.704</v>
      </c>
      <c r="F147" s="20">
        <f>-C84*12*C24</f>
        <v>-5528476.704</v>
      </c>
      <c r="G147" s="20">
        <f>-C84*12*C24</f>
        <v>-5528476.704</v>
      </c>
      <c r="H147" s="20">
        <f>-C84*12*C24</f>
        <v>-5528476.704</v>
      </c>
      <c r="I147" s="20">
        <f>-C84*12*C24</f>
        <v>-5528476.704</v>
      </c>
      <c r="J147" s="20">
        <f>-C84*12*C24</f>
        <v>-5528476.704</v>
      </c>
      <c r="K147" s="20">
        <f>-C84*12*C24</f>
        <v>-5528476.704</v>
      </c>
      <c r="L147" s="20">
        <f>-C84*12*C24</f>
        <v>-5528476.704</v>
      </c>
      <c r="M147" s="7"/>
      <c r="N147" s="7"/>
    </row>
    <row r="148" ht="18.75" customHeight="1">
      <c r="A148" s="160"/>
      <c r="B148" s="161" t="s">
        <v>393</v>
      </c>
      <c r="C148" s="162">
        <f t="shared" ref="C148:L148" si="28">C146+C147</f>
        <v>1880366.448</v>
      </c>
      <c r="D148" s="162">
        <f t="shared" si="28"/>
        <v>2820549.672</v>
      </c>
      <c r="E148" s="162">
        <f t="shared" si="28"/>
        <v>3760732.896</v>
      </c>
      <c r="F148" s="162">
        <f t="shared" si="28"/>
        <v>3760732.896</v>
      </c>
      <c r="G148" s="162">
        <f t="shared" si="28"/>
        <v>3760732.896</v>
      </c>
      <c r="H148" s="162">
        <f t="shared" si="28"/>
        <v>3760732.896</v>
      </c>
      <c r="I148" s="162">
        <f t="shared" si="28"/>
        <v>3760732.896</v>
      </c>
      <c r="J148" s="162">
        <f t="shared" si="28"/>
        <v>3760732.896</v>
      </c>
      <c r="K148" s="162">
        <f t="shared" si="28"/>
        <v>3760732.896</v>
      </c>
      <c r="L148" s="162">
        <f t="shared" si="28"/>
        <v>3760732.896</v>
      </c>
      <c r="M148" s="160"/>
      <c r="N148" s="160"/>
    </row>
    <row r="149">
      <c r="A149" s="7"/>
      <c r="B149" s="96" t="s">
        <v>394</v>
      </c>
      <c r="C149" s="24">
        <f t="shared" ref="C149:L149" si="29">IF(C146=0,0,C148/C146)</f>
        <v>0.4048496113</v>
      </c>
      <c r="D149" s="24">
        <f t="shared" si="29"/>
        <v>0.4048496113</v>
      </c>
      <c r="E149" s="24">
        <f t="shared" si="29"/>
        <v>0.4048496113</v>
      </c>
      <c r="F149" s="24">
        <f t="shared" si="29"/>
        <v>0.4048496113</v>
      </c>
      <c r="G149" s="24">
        <f t="shared" si="29"/>
        <v>0.4048496113</v>
      </c>
      <c r="H149" s="24">
        <f t="shared" si="29"/>
        <v>0.4048496113</v>
      </c>
      <c r="I149" s="24">
        <f t="shared" si="29"/>
        <v>0.4048496113</v>
      </c>
      <c r="J149" s="24">
        <f t="shared" si="29"/>
        <v>0.4048496113</v>
      </c>
      <c r="K149" s="24">
        <f t="shared" si="29"/>
        <v>0.4048496113</v>
      </c>
      <c r="L149" s="24">
        <f t="shared" si="29"/>
        <v>0.4048496113</v>
      </c>
      <c r="M149" s="7"/>
      <c r="N149" s="7"/>
    </row>
    <row r="150">
      <c r="A150" s="2"/>
      <c r="B150" s="92" t="s">
        <v>395</v>
      </c>
      <c r="C150" s="26">
        <f>-(C65/C18+C66/20)</f>
        <v>-194880</v>
      </c>
      <c r="D150" s="26">
        <f>-(C65/C18+C66/20)</f>
        <v>-194880</v>
      </c>
      <c r="E150" s="26">
        <f>-(C65/C18+C66/20)</f>
        <v>-194880</v>
      </c>
      <c r="F150" s="26">
        <f>-(C65/C18+C66/20)</f>
        <v>-194880</v>
      </c>
      <c r="G150" s="26">
        <f>-(C65/C18+C66/20)</f>
        <v>-194880</v>
      </c>
      <c r="H150" s="26">
        <f>-(C65/C18+C66/20)</f>
        <v>-194880</v>
      </c>
      <c r="I150" s="26">
        <f>-(C65/C18+C66/20)</f>
        <v>-194880</v>
      </c>
      <c r="J150" s="26">
        <f>-(C65/C18+C66/20)</f>
        <v>-194880</v>
      </c>
      <c r="K150" s="26">
        <f>-(C65/C18+C66/20)</f>
        <v>-194880</v>
      </c>
      <c r="L150" s="26">
        <f>-(C65/C18+C66/20)</f>
        <v>-194880</v>
      </c>
      <c r="M150" s="2"/>
      <c r="N150" s="2"/>
    </row>
    <row r="151">
      <c r="A151" s="7"/>
      <c r="B151" s="163" t="s">
        <v>396</v>
      </c>
      <c r="C151" s="34">
        <f t="shared" ref="C151:L151" si="30">C148+C150</f>
        <v>1685486.448</v>
      </c>
      <c r="D151" s="34">
        <f t="shared" si="30"/>
        <v>2625669.672</v>
      </c>
      <c r="E151" s="34">
        <f t="shared" si="30"/>
        <v>3565852.896</v>
      </c>
      <c r="F151" s="34">
        <f t="shared" si="30"/>
        <v>3565852.896</v>
      </c>
      <c r="G151" s="34">
        <f t="shared" si="30"/>
        <v>3565852.896</v>
      </c>
      <c r="H151" s="34">
        <f t="shared" si="30"/>
        <v>3565852.896</v>
      </c>
      <c r="I151" s="34">
        <f t="shared" si="30"/>
        <v>3565852.896</v>
      </c>
      <c r="J151" s="34">
        <f t="shared" si="30"/>
        <v>3565852.896</v>
      </c>
      <c r="K151" s="34">
        <f t="shared" si="30"/>
        <v>3565852.896</v>
      </c>
      <c r="L151" s="34">
        <f t="shared" si="30"/>
        <v>3565852.896</v>
      </c>
      <c r="M151" s="35"/>
      <c r="N151" s="35"/>
    </row>
    <row r="152">
      <c r="A152" s="2"/>
      <c r="B152" s="92" t="s">
        <v>397</v>
      </c>
      <c r="C152" s="26">
        <f t="shared" ref="C152:L152" si="31">-D204</f>
        <v>-259601.6933</v>
      </c>
      <c r="D152" s="26">
        <f t="shared" si="31"/>
        <v>-216334.7444</v>
      </c>
      <c r="E152" s="26">
        <f t="shared" si="31"/>
        <v>-173067.7955</v>
      </c>
      <c r="F152" s="26">
        <f t="shared" si="31"/>
        <v>-129800.8466</v>
      </c>
      <c r="G152" s="26">
        <f t="shared" si="31"/>
        <v>-86533.89775</v>
      </c>
      <c r="H152" s="26">
        <f t="shared" si="31"/>
        <v>-43266.94888</v>
      </c>
      <c r="I152" s="26">
        <f t="shared" si="31"/>
        <v>0</v>
      </c>
      <c r="J152" s="26">
        <f t="shared" si="31"/>
        <v>0</v>
      </c>
      <c r="K152" s="26">
        <f t="shared" si="31"/>
        <v>0</v>
      </c>
      <c r="L152" s="26">
        <f t="shared" si="31"/>
        <v>0</v>
      </c>
      <c r="M152" s="2"/>
      <c r="N152" s="2"/>
    </row>
    <row r="153">
      <c r="A153" s="7"/>
      <c r="B153" s="96" t="s">
        <v>398</v>
      </c>
      <c r="C153" s="20">
        <f t="shared" ref="C153:L153" si="32">C151+C152</f>
        <v>1425884.755</v>
      </c>
      <c r="D153" s="20">
        <f t="shared" si="32"/>
        <v>2409334.928</v>
      </c>
      <c r="E153" s="20">
        <f t="shared" si="32"/>
        <v>3392785.1</v>
      </c>
      <c r="F153" s="20">
        <f t="shared" si="32"/>
        <v>3436052.049</v>
      </c>
      <c r="G153" s="20">
        <f t="shared" si="32"/>
        <v>3479318.998</v>
      </c>
      <c r="H153" s="20">
        <f t="shared" si="32"/>
        <v>3522585.947</v>
      </c>
      <c r="I153" s="20">
        <f t="shared" si="32"/>
        <v>3565852.896</v>
      </c>
      <c r="J153" s="20">
        <f t="shared" si="32"/>
        <v>3565852.896</v>
      </c>
      <c r="K153" s="20">
        <f t="shared" si="32"/>
        <v>3565852.896</v>
      </c>
      <c r="L153" s="20">
        <f t="shared" si="32"/>
        <v>3565852.896</v>
      </c>
      <c r="M153" s="7"/>
      <c r="N153" s="7"/>
    </row>
    <row r="154">
      <c r="A154" s="2"/>
      <c r="B154" s="92" t="s">
        <v>399</v>
      </c>
      <c r="C154" s="26">
        <f>-MAX(0,C153)*C15</f>
        <v>-427765.4264</v>
      </c>
      <c r="D154" s="26">
        <f>-MAX(0,D153)*C15</f>
        <v>-722800.4783</v>
      </c>
      <c r="E154" s="26">
        <f>-MAX(0,E153)*C15</f>
        <v>-1017835.53</v>
      </c>
      <c r="F154" s="26">
        <f>-MAX(0,F153)*C15</f>
        <v>-1030815.615</v>
      </c>
      <c r="G154" s="26">
        <f>-MAX(0,G153)*C15</f>
        <v>-1043795.699</v>
      </c>
      <c r="H154" s="26">
        <f>-MAX(0,H153)*C15</f>
        <v>-1056775.784</v>
      </c>
      <c r="I154" s="26">
        <f>-MAX(0,I153)*C15</f>
        <v>-1069755.869</v>
      </c>
      <c r="J154" s="26">
        <f>-MAX(0,J153)*C15</f>
        <v>-1069755.869</v>
      </c>
      <c r="K154" s="26">
        <f>-MAX(0,K153)*C15</f>
        <v>-1069755.869</v>
      </c>
      <c r="L154" s="26">
        <f>-MAX(0,L153)*C15</f>
        <v>-1069755.869</v>
      </c>
      <c r="M154" s="2"/>
      <c r="N154" s="2"/>
    </row>
    <row r="155">
      <c r="A155" s="7"/>
      <c r="B155" s="96" t="s">
        <v>400</v>
      </c>
      <c r="C155" s="20">
        <f>-MAX(0,C153)*C16</f>
        <v>-142588.4755</v>
      </c>
      <c r="D155" s="20">
        <f>-MAX(0,D153)*C16</f>
        <v>-240933.4928</v>
      </c>
      <c r="E155" s="20">
        <f>-MAX(0,E153)*C16</f>
        <v>-339278.51</v>
      </c>
      <c r="F155" s="20">
        <f>-MAX(0,F153)*C16</f>
        <v>-343605.2049</v>
      </c>
      <c r="G155" s="20">
        <f>-MAX(0,G153)*C16</f>
        <v>-347931.8998</v>
      </c>
      <c r="H155" s="20">
        <f>-MAX(0,H153)*C16</f>
        <v>-352258.5947</v>
      </c>
      <c r="I155" s="20">
        <f>-MAX(0,I153)*C16</f>
        <v>-356585.2896</v>
      </c>
      <c r="J155" s="20">
        <f>-MAX(0,J153)*C16</f>
        <v>-356585.2896</v>
      </c>
      <c r="K155" s="20">
        <f>-MAX(0,K153)*C16</f>
        <v>-356585.2896</v>
      </c>
      <c r="L155" s="20">
        <f>-MAX(0,L153)*C16</f>
        <v>-356585.2896</v>
      </c>
      <c r="M155" s="7"/>
      <c r="N155" s="7"/>
    </row>
    <row r="156" ht="18.75" customHeight="1">
      <c r="A156" s="160"/>
      <c r="B156" s="161" t="s">
        <v>401</v>
      </c>
      <c r="C156" s="162">
        <f t="shared" ref="C156:L156" si="33">C153+C154+C155</f>
        <v>855530.8528</v>
      </c>
      <c r="D156" s="162">
        <f t="shared" si="33"/>
        <v>1445600.957</v>
      </c>
      <c r="E156" s="162">
        <f t="shared" si="33"/>
        <v>2035671.06</v>
      </c>
      <c r="F156" s="162">
        <f t="shared" si="33"/>
        <v>2061631.23</v>
      </c>
      <c r="G156" s="162">
        <f t="shared" si="33"/>
        <v>2087591.399</v>
      </c>
      <c r="H156" s="162">
        <f t="shared" si="33"/>
        <v>2113551.568</v>
      </c>
      <c r="I156" s="162">
        <f t="shared" si="33"/>
        <v>2139511.738</v>
      </c>
      <c r="J156" s="162">
        <f t="shared" si="33"/>
        <v>2139511.738</v>
      </c>
      <c r="K156" s="162">
        <f t="shared" si="33"/>
        <v>2139511.738</v>
      </c>
      <c r="L156" s="162">
        <f t="shared" si="33"/>
        <v>2139511.738</v>
      </c>
      <c r="M156" s="160"/>
      <c r="N156" s="160"/>
    </row>
    <row r="157">
      <c r="A157" s="7"/>
      <c r="B157" s="96" t="s">
        <v>402</v>
      </c>
      <c r="C157" s="20">
        <f>-MAX(0,C156)*C17</f>
        <v>-42776.54264</v>
      </c>
      <c r="D157" s="20">
        <f>-MAX(0,D156)*C17</f>
        <v>-72280.04783</v>
      </c>
      <c r="E157" s="20">
        <f>-MAX(0,E156)*C17</f>
        <v>-101783.553</v>
      </c>
      <c r="F157" s="20">
        <f>-MAX(0,F156)*C17</f>
        <v>-103081.5615</v>
      </c>
      <c r="G157" s="20">
        <f>-MAX(0,G156)*C17</f>
        <v>-104379.5699</v>
      </c>
      <c r="H157" s="20">
        <f>-MAX(0,H156)*C17</f>
        <v>-105677.5784</v>
      </c>
      <c r="I157" s="20">
        <f>-MAX(0,I156)*C17</f>
        <v>-106975.5869</v>
      </c>
      <c r="J157" s="20">
        <f>-MAX(0,J156)*C17</f>
        <v>-106975.5869</v>
      </c>
      <c r="K157" s="20">
        <f>-MAX(0,K156)*C17</f>
        <v>-106975.5869</v>
      </c>
      <c r="L157" s="20">
        <f>-MAX(0,L156)*C17</f>
        <v>-106975.5869</v>
      </c>
      <c r="M157" s="7"/>
      <c r="N157" s="7"/>
    </row>
    <row r="158" ht="18.75" customHeight="1">
      <c r="A158" s="160"/>
      <c r="B158" s="161" t="s">
        <v>403</v>
      </c>
      <c r="C158" s="162">
        <f t="shared" ref="C158:L158" si="34">C156+C157</f>
        <v>812754.3102</v>
      </c>
      <c r="D158" s="162">
        <f t="shared" si="34"/>
        <v>1373320.909</v>
      </c>
      <c r="E158" s="162">
        <f t="shared" si="34"/>
        <v>1933887.507</v>
      </c>
      <c r="F158" s="162">
        <f t="shared" si="34"/>
        <v>1958549.668</v>
      </c>
      <c r="G158" s="162">
        <f t="shared" si="34"/>
        <v>1983211.829</v>
      </c>
      <c r="H158" s="162">
        <f t="shared" si="34"/>
        <v>2007873.99</v>
      </c>
      <c r="I158" s="162">
        <f t="shared" si="34"/>
        <v>2032536.151</v>
      </c>
      <c r="J158" s="162">
        <f t="shared" si="34"/>
        <v>2032536.151</v>
      </c>
      <c r="K158" s="162">
        <f t="shared" si="34"/>
        <v>2032536.151</v>
      </c>
      <c r="L158" s="162">
        <f t="shared" si="34"/>
        <v>2032536.151</v>
      </c>
      <c r="M158" s="160"/>
      <c r="N158" s="160"/>
    </row>
    <row r="159">
      <c r="A159" s="7"/>
      <c r="B159" s="13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</row>
    <row r="160">
      <c r="A160" s="2"/>
      <c r="B160" s="120" t="s">
        <v>611</v>
      </c>
      <c r="C160" s="4"/>
      <c r="D160" s="4"/>
      <c r="E160" s="4"/>
      <c r="F160" s="4"/>
      <c r="G160" s="4"/>
      <c r="H160" s="5"/>
      <c r="I160" s="183"/>
      <c r="J160" s="183"/>
      <c r="K160" s="183"/>
      <c r="L160" s="183"/>
      <c r="M160" s="183"/>
      <c r="N160" s="183"/>
    </row>
    <row r="161">
      <c r="A161" s="7"/>
      <c r="B161" s="193" t="s">
        <v>407</v>
      </c>
      <c r="C161" s="187" t="s">
        <v>408</v>
      </c>
      <c r="D161" s="187" t="s">
        <v>409</v>
      </c>
      <c r="E161" s="187" t="s">
        <v>410</v>
      </c>
      <c r="F161" s="187"/>
      <c r="G161" s="187"/>
      <c r="H161" s="187"/>
      <c r="I161" s="7"/>
      <c r="J161" s="7"/>
      <c r="K161" s="7"/>
      <c r="L161" s="7"/>
      <c r="M161" s="7"/>
      <c r="N161" s="7"/>
    </row>
    <row r="162">
      <c r="A162" s="2"/>
      <c r="B162" s="92" t="s">
        <v>411</v>
      </c>
      <c r="C162" s="26">
        <f t="shared" ref="C162:C163" si="35">C65</f>
        <v>1738800</v>
      </c>
      <c r="D162" s="44">
        <f>C18</f>
        <v>10</v>
      </c>
      <c r="E162" s="26">
        <f t="shared" ref="E162:E163" si="36">C162/D162</f>
        <v>173880</v>
      </c>
      <c r="F162" s="2"/>
      <c r="G162" s="2"/>
      <c r="H162" s="2"/>
      <c r="I162" s="2"/>
      <c r="J162" s="2"/>
      <c r="K162" s="2"/>
      <c r="L162" s="2"/>
      <c r="M162" s="2"/>
      <c r="N162" s="2"/>
    </row>
    <row r="163">
      <c r="A163" s="7"/>
      <c r="B163" s="96" t="s">
        <v>343</v>
      </c>
      <c r="C163" s="20">
        <f t="shared" si="35"/>
        <v>420000</v>
      </c>
      <c r="D163" s="101">
        <v>20.0</v>
      </c>
      <c r="E163" s="20">
        <f t="shared" si="36"/>
        <v>21000</v>
      </c>
      <c r="F163" s="7"/>
      <c r="G163" s="7"/>
      <c r="H163" s="7"/>
      <c r="I163" s="7"/>
      <c r="J163" s="7"/>
      <c r="K163" s="7"/>
      <c r="L163" s="7"/>
      <c r="M163" s="7"/>
      <c r="N163" s="7"/>
    </row>
    <row r="164" ht="18.75" customHeight="1">
      <c r="A164" s="132"/>
      <c r="B164" s="133" t="s">
        <v>412</v>
      </c>
      <c r="C164" s="132"/>
      <c r="D164" s="132"/>
      <c r="E164" s="135">
        <f>E162+E163</f>
        <v>194880</v>
      </c>
      <c r="F164" s="132"/>
      <c r="G164" s="132"/>
      <c r="H164" s="132"/>
      <c r="I164" s="132"/>
      <c r="J164" s="132"/>
      <c r="K164" s="132"/>
      <c r="L164" s="132"/>
      <c r="M164" s="132"/>
      <c r="N164" s="132"/>
    </row>
    <row r="165">
      <c r="A165" s="7"/>
      <c r="B165" s="13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</row>
    <row r="166">
      <c r="A166" s="2"/>
      <c r="B166" s="120" t="s">
        <v>612</v>
      </c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5"/>
    </row>
    <row r="167">
      <c r="A167" s="7"/>
      <c r="B167" s="113" t="s">
        <v>414</v>
      </c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5"/>
    </row>
    <row r="168">
      <c r="A168" s="2"/>
      <c r="B168" s="92" t="s">
        <v>415</v>
      </c>
      <c r="C168" s="26">
        <f>C69*C29</f>
        <v>1922975.506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>
      <c r="A169" s="7"/>
      <c r="B169" s="96" t="s">
        <v>416</v>
      </c>
      <c r="C169" s="24">
        <f t="shared" ref="C169:C170" si="37">C30</f>
        <v>0.135</v>
      </c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</row>
    <row r="170">
      <c r="A170" s="2"/>
      <c r="B170" s="92" t="s">
        <v>417</v>
      </c>
      <c r="C170" s="44">
        <f t="shared" si="37"/>
        <v>6</v>
      </c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>
      <c r="A171" s="7"/>
      <c r="B171" s="13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</row>
    <row r="172">
      <c r="A172" s="2"/>
      <c r="B172" s="197" t="s">
        <v>340</v>
      </c>
      <c r="C172" s="198" t="s">
        <v>418</v>
      </c>
      <c r="D172" s="198" t="s">
        <v>380</v>
      </c>
      <c r="E172" s="198" t="s">
        <v>381</v>
      </c>
      <c r="F172" s="198" t="s">
        <v>382</v>
      </c>
      <c r="G172" s="198" t="s">
        <v>383</v>
      </c>
      <c r="H172" s="198" t="s">
        <v>384</v>
      </c>
      <c r="I172" s="198" t="s">
        <v>385</v>
      </c>
      <c r="J172" s="198" t="s">
        <v>386</v>
      </c>
      <c r="K172" s="198" t="s">
        <v>387</v>
      </c>
      <c r="L172" s="198" t="s">
        <v>388</v>
      </c>
      <c r="M172" s="198" t="s">
        <v>389</v>
      </c>
      <c r="N172" s="30"/>
    </row>
    <row r="173">
      <c r="A173" s="7"/>
      <c r="B173" s="96" t="s">
        <v>419</v>
      </c>
      <c r="C173" s="20">
        <v>0.0</v>
      </c>
      <c r="D173" s="20">
        <f t="shared" ref="D173:L173" si="38">C178</f>
        <v>1922975.506</v>
      </c>
      <c r="E173" s="20">
        <f t="shared" si="38"/>
        <v>1602479.588</v>
      </c>
      <c r="F173" s="20">
        <f t="shared" si="38"/>
        <v>1281983.67</v>
      </c>
      <c r="G173" s="20">
        <f t="shared" si="38"/>
        <v>961487.7528</v>
      </c>
      <c r="H173" s="20">
        <f t="shared" si="38"/>
        <v>640991.8352</v>
      </c>
      <c r="I173" s="20">
        <f t="shared" si="38"/>
        <v>320495.9176</v>
      </c>
      <c r="J173" s="20">
        <f t="shared" si="38"/>
        <v>-0.0000000003492459655</v>
      </c>
      <c r="K173" s="20">
        <f t="shared" si="38"/>
        <v>-0.0000000003492459655</v>
      </c>
      <c r="L173" s="20">
        <f t="shared" si="38"/>
        <v>-0.0000000003492459655</v>
      </c>
      <c r="M173" s="20">
        <f>L177</f>
        <v>0</v>
      </c>
      <c r="N173" s="7"/>
    </row>
    <row r="174">
      <c r="A174" s="2"/>
      <c r="B174" s="92" t="s">
        <v>420</v>
      </c>
      <c r="C174" s="26">
        <f>C168</f>
        <v>1922975.506</v>
      </c>
      <c r="D174" s="26">
        <v>0.0</v>
      </c>
      <c r="E174" s="26">
        <v>0.0</v>
      </c>
      <c r="F174" s="26">
        <v>0.0</v>
      </c>
      <c r="G174" s="26">
        <v>0.0</v>
      </c>
      <c r="H174" s="26">
        <v>0.0</v>
      </c>
      <c r="I174" s="26">
        <v>0.0</v>
      </c>
      <c r="J174" s="26">
        <v>0.0</v>
      </c>
      <c r="K174" s="26">
        <v>0.0</v>
      </c>
      <c r="L174" s="26">
        <v>0.0</v>
      </c>
      <c r="M174" s="26">
        <v>0.0</v>
      </c>
      <c r="N174" s="2"/>
    </row>
    <row r="175">
      <c r="A175" s="7"/>
      <c r="B175" s="96" t="s">
        <v>421</v>
      </c>
      <c r="C175" s="20">
        <v>0.0</v>
      </c>
      <c r="D175" s="20">
        <f>IF(1&lt;=C170,C168/C170,0)</f>
        <v>320495.9176</v>
      </c>
      <c r="E175" s="20">
        <f>IF(2&lt;=C170,C168/C170,0)</f>
        <v>320495.9176</v>
      </c>
      <c r="F175" s="20">
        <f>IF(3&lt;=C170,C168/C170,0)</f>
        <v>320495.9176</v>
      </c>
      <c r="G175" s="20">
        <f>IF(4&lt;=C170,C168/C170,0)</f>
        <v>320495.9176</v>
      </c>
      <c r="H175" s="20">
        <f>IF(5&lt;=C170,C168/C170,0)</f>
        <v>320495.9176</v>
      </c>
      <c r="I175" s="20">
        <f>IF(6&lt;=C170,C168/C170,0)</f>
        <v>320495.9176</v>
      </c>
      <c r="J175" s="20">
        <f>IF(7&lt;=C170,C168/C170,0)</f>
        <v>0</v>
      </c>
      <c r="K175" s="20">
        <f>IF(8&lt;=C170,C168/C170,0)</f>
        <v>0</v>
      </c>
      <c r="L175" s="20">
        <f>IF(9&lt;=C170,C168/C170,0)</f>
        <v>0</v>
      </c>
      <c r="M175" s="20">
        <f>IF(10&lt;=C170,C168/C170,0)</f>
        <v>0</v>
      </c>
      <c r="N175" s="7"/>
    </row>
    <row r="176">
      <c r="A176" s="2"/>
      <c r="B176" s="92" t="s">
        <v>422</v>
      </c>
      <c r="C176" s="26">
        <v>0.0</v>
      </c>
      <c r="D176" s="26">
        <f>D173*C169</f>
        <v>259601.6933</v>
      </c>
      <c r="E176" s="26">
        <f>E173*C169</f>
        <v>216334.7444</v>
      </c>
      <c r="F176" s="26">
        <f>F173*C169</f>
        <v>173067.7955</v>
      </c>
      <c r="G176" s="26">
        <f>G173*C169</f>
        <v>129800.8466</v>
      </c>
      <c r="H176" s="26">
        <f>H173*C169</f>
        <v>86533.89775</v>
      </c>
      <c r="I176" s="26">
        <f>I173*C169</f>
        <v>43266.94888</v>
      </c>
      <c r="J176" s="26">
        <f>J173*C169</f>
        <v>0</v>
      </c>
      <c r="K176" s="26">
        <f>K173*C169</f>
        <v>0</v>
      </c>
      <c r="L176" s="26">
        <f>L173*C169</f>
        <v>0</v>
      </c>
      <c r="M176" s="26">
        <f>M173*C169</f>
        <v>0</v>
      </c>
      <c r="N176" s="2"/>
    </row>
    <row r="177">
      <c r="A177" s="7"/>
      <c r="B177" s="163" t="s">
        <v>423</v>
      </c>
      <c r="C177" s="34">
        <v>0.0</v>
      </c>
      <c r="D177" s="34">
        <f t="shared" ref="D177:M177" si="39">D175+D176</f>
        <v>580097.6109</v>
      </c>
      <c r="E177" s="34">
        <f t="shared" si="39"/>
        <v>536830.662</v>
      </c>
      <c r="F177" s="34">
        <f t="shared" si="39"/>
        <v>493563.7131</v>
      </c>
      <c r="G177" s="34">
        <f t="shared" si="39"/>
        <v>450296.7642</v>
      </c>
      <c r="H177" s="34">
        <f t="shared" si="39"/>
        <v>407029.8154</v>
      </c>
      <c r="I177" s="34">
        <f t="shared" si="39"/>
        <v>363762.8665</v>
      </c>
      <c r="J177" s="34">
        <f t="shared" si="39"/>
        <v>0</v>
      </c>
      <c r="K177" s="34">
        <f t="shared" si="39"/>
        <v>0</v>
      </c>
      <c r="L177" s="34">
        <f t="shared" si="39"/>
        <v>0</v>
      </c>
      <c r="M177" s="34">
        <f t="shared" si="39"/>
        <v>0</v>
      </c>
      <c r="N177" s="7"/>
    </row>
    <row r="178">
      <c r="A178" s="2"/>
      <c r="B178" s="92" t="s">
        <v>424</v>
      </c>
      <c r="C178" s="26">
        <f t="shared" ref="C178:M178" si="40">C173+C174-C175</f>
        <v>1922975.506</v>
      </c>
      <c r="D178" s="26">
        <f t="shared" si="40"/>
        <v>1602479.588</v>
      </c>
      <c r="E178" s="26">
        <f t="shared" si="40"/>
        <v>1281983.67</v>
      </c>
      <c r="F178" s="26">
        <f t="shared" si="40"/>
        <v>961487.7528</v>
      </c>
      <c r="G178" s="26">
        <f t="shared" si="40"/>
        <v>640991.8352</v>
      </c>
      <c r="H178" s="26">
        <f t="shared" si="40"/>
        <v>320495.9176</v>
      </c>
      <c r="I178" s="26">
        <f t="shared" si="40"/>
        <v>-0.0000000003492459655</v>
      </c>
      <c r="J178" s="26">
        <f t="shared" si="40"/>
        <v>-0.0000000003492459655</v>
      </c>
      <c r="K178" s="26">
        <f t="shared" si="40"/>
        <v>-0.0000000003492459655</v>
      </c>
      <c r="L178" s="26">
        <f t="shared" si="40"/>
        <v>-0.0000000003492459655</v>
      </c>
      <c r="M178" s="26">
        <f t="shared" si="40"/>
        <v>0</v>
      </c>
      <c r="N178" s="2"/>
    </row>
    <row r="179">
      <c r="A179" s="7"/>
      <c r="B179" s="96" t="s">
        <v>425</v>
      </c>
      <c r="C179" s="166" t="s">
        <v>426</v>
      </c>
      <c r="D179" s="45">
        <f t="shared" ref="D179:M179" si="41">IF(D177=0,"-",C112/D177)</f>
        <v>0.3434567636</v>
      </c>
      <c r="E179" s="45">
        <f t="shared" si="41"/>
        <v>0.5567075303</v>
      </c>
      <c r="F179" s="45">
        <f t="shared" si="41"/>
        <v>0.8073464183</v>
      </c>
      <c r="G179" s="45">
        <f t="shared" si="41"/>
        <v>0.8849206294</v>
      </c>
      <c r="H179" s="45">
        <f t="shared" si="41"/>
        <v>0.9789869955</v>
      </c>
      <c r="I179" s="45">
        <f t="shared" si="41"/>
        <v>1.095430383</v>
      </c>
      <c r="J179" s="45">
        <f t="shared" si="41"/>
        <v>-8.45158E+15</v>
      </c>
      <c r="K179" s="45">
        <f t="shared" si="41"/>
        <v>-8.45158E+15</v>
      </c>
      <c r="L179" s="45">
        <f t="shared" si="41"/>
        <v>-8.45158E+15</v>
      </c>
      <c r="M179" s="45">
        <f t="shared" si="41"/>
        <v>-6.26043E+16</v>
      </c>
      <c r="N179" s="7"/>
    </row>
    <row r="180">
      <c r="A180" s="2"/>
      <c r="B180" s="11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>
      <c r="A181" s="7"/>
      <c r="B181" s="113" t="s">
        <v>427</v>
      </c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5"/>
    </row>
    <row r="182">
      <c r="A182" s="2"/>
      <c r="B182" s="92" t="s">
        <v>415</v>
      </c>
      <c r="C182" s="26">
        <f>C69*C29</f>
        <v>1922975.506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>
      <c r="A183" s="7"/>
      <c r="B183" s="96" t="s">
        <v>416</v>
      </c>
      <c r="C183" s="24">
        <f t="shared" ref="C183:C184" si="42">C30</f>
        <v>0.135</v>
      </c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</row>
    <row r="184">
      <c r="A184" s="2"/>
      <c r="B184" s="92" t="s">
        <v>417</v>
      </c>
      <c r="C184" s="44">
        <f t="shared" si="42"/>
        <v>6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>
      <c r="A185" s="7"/>
      <c r="B185" s="13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</row>
    <row r="186">
      <c r="A186" s="2"/>
      <c r="B186" s="197" t="s">
        <v>340</v>
      </c>
      <c r="C186" s="198" t="s">
        <v>418</v>
      </c>
      <c r="D186" s="198" t="s">
        <v>380</v>
      </c>
      <c r="E186" s="198" t="s">
        <v>381</v>
      </c>
      <c r="F186" s="198" t="s">
        <v>382</v>
      </c>
      <c r="G186" s="198" t="s">
        <v>383</v>
      </c>
      <c r="H186" s="198" t="s">
        <v>384</v>
      </c>
      <c r="I186" s="198" t="s">
        <v>385</v>
      </c>
      <c r="J186" s="198" t="s">
        <v>386</v>
      </c>
      <c r="K186" s="198" t="s">
        <v>387</v>
      </c>
      <c r="L186" s="198" t="s">
        <v>388</v>
      </c>
      <c r="M186" s="198" t="s">
        <v>389</v>
      </c>
      <c r="N186" s="30"/>
    </row>
    <row r="187">
      <c r="A187" s="7"/>
      <c r="B187" s="96" t="s">
        <v>419</v>
      </c>
      <c r="C187" s="20">
        <v>0.0</v>
      </c>
      <c r="D187" s="20">
        <f t="shared" ref="D187:L187" si="43">C192</f>
        <v>1922975.506</v>
      </c>
      <c r="E187" s="20">
        <f t="shared" si="43"/>
        <v>1602479.588</v>
      </c>
      <c r="F187" s="20">
        <f t="shared" si="43"/>
        <v>1281983.67</v>
      </c>
      <c r="G187" s="20">
        <f t="shared" si="43"/>
        <v>961487.7528</v>
      </c>
      <c r="H187" s="20">
        <f t="shared" si="43"/>
        <v>640991.8352</v>
      </c>
      <c r="I187" s="20">
        <f t="shared" si="43"/>
        <v>320495.9176</v>
      </c>
      <c r="J187" s="20">
        <f t="shared" si="43"/>
        <v>-0.0000000003492459655</v>
      </c>
      <c r="K187" s="20">
        <f t="shared" si="43"/>
        <v>-0.0000000003492459655</v>
      </c>
      <c r="L187" s="20">
        <f t="shared" si="43"/>
        <v>-0.0000000003492459655</v>
      </c>
      <c r="M187" s="20">
        <f>L191</f>
        <v>0</v>
      </c>
      <c r="N187" s="7"/>
    </row>
    <row r="188">
      <c r="A188" s="2"/>
      <c r="B188" s="92" t="s">
        <v>420</v>
      </c>
      <c r="C188" s="26">
        <f>C182</f>
        <v>1922975.506</v>
      </c>
      <c r="D188" s="26">
        <v>0.0</v>
      </c>
      <c r="E188" s="26">
        <v>0.0</v>
      </c>
      <c r="F188" s="26">
        <v>0.0</v>
      </c>
      <c r="G188" s="26">
        <v>0.0</v>
      </c>
      <c r="H188" s="26">
        <v>0.0</v>
      </c>
      <c r="I188" s="26">
        <v>0.0</v>
      </c>
      <c r="J188" s="26">
        <v>0.0</v>
      </c>
      <c r="K188" s="26">
        <v>0.0</v>
      </c>
      <c r="L188" s="26">
        <v>0.0</v>
      </c>
      <c r="M188" s="26">
        <v>0.0</v>
      </c>
      <c r="N188" s="2"/>
    </row>
    <row r="189">
      <c r="A189" s="7"/>
      <c r="B189" s="96" t="s">
        <v>421</v>
      </c>
      <c r="C189" s="20">
        <v>0.0</v>
      </c>
      <c r="D189" s="20">
        <f>IF(1&lt;=C184,C182/C184,0)</f>
        <v>320495.9176</v>
      </c>
      <c r="E189" s="20">
        <f>IF(2&lt;=C184,C182/C184,0)</f>
        <v>320495.9176</v>
      </c>
      <c r="F189" s="20">
        <f>IF(3&lt;=C184,C182/C184,0)</f>
        <v>320495.9176</v>
      </c>
      <c r="G189" s="20">
        <f>IF(4&lt;=C184,C182/C184,0)</f>
        <v>320495.9176</v>
      </c>
      <c r="H189" s="20">
        <f>IF(5&lt;=C184,C182/C184,0)</f>
        <v>320495.9176</v>
      </c>
      <c r="I189" s="20">
        <f>IF(6&lt;=C184,C182/C184,0)</f>
        <v>320495.9176</v>
      </c>
      <c r="J189" s="20">
        <f>IF(7&lt;=C184,C182/C184,0)</f>
        <v>0</v>
      </c>
      <c r="K189" s="20">
        <f>IF(8&lt;=C184,C182/C184,0)</f>
        <v>0</v>
      </c>
      <c r="L189" s="20">
        <f>IF(9&lt;=C184,C182/C184,0)</f>
        <v>0</v>
      </c>
      <c r="M189" s="20">
        <f>IF(10&lt;=C184,C182/C184,0)</f>
        <v>0</v>
      </c>
      <c r="N189" s="7"/>
    </row>
    <row r="190">
      <c r="A190" s="2"/>
      <c r="B190" s="92" t="s">
        <v>422</v>
      </c>
      <c r="C190" s="26">
        <v>0.0</v>
      </c>
      <c r="D190" s="26">
        <f>D187*C183</f>
        <v>259601.6933</v>
      </c>
      <c r="E190" s="26">
        <f>E187*C183</f>
        <v>216334.7444</v>
      </c>
      <c r="F190" s="26">
        <f>F187*C183</f>
        <v>173067.7955</v>
      </c>
      <c r="G190" s="26">
        <f>G187*C183</f>
        <v>129800.8466</v>
      </c>
      <c r="H190" s="26">
        <f>H187*C183</f>
        <v>86533.89775</v>
      </c>
      <c r="I190" s="26">
        <f>I187*C183</f>
        <v>43266.94888</v>
      </c>
      <c r="J190" s="26">
        <f>J187*C183</f>
        <v>0</v>
      </c>
      <c r="K190" s="26">
        <f>K187*C183</f>
        <v>0</v>
      </c>
      <c r="L190" s="26">
        <f>L187*C183</f>
        <v>0</v>
      </c>
      <c r="M190" s="26">
        <f>M187*C183</f>
        <v>0</v>
      </c>
      <c r="N190" s="2"/>
    </row>
    <row r="191">
      <c r="A191" s="7"/>
      <c r="B191" s="163" t="s">
        <v>423</v>
      </c>
      <c r="C191" s="34">
        <v>0.0</v>
      </c>
      <c r="D191" s="34">
        <f t="shared" ref="D191:M191" si="44">D189+D190</f>
        <v>580097.6109</v>
      </c>
      <c r="E191" s="34">
        <f t="shared" si="44"/>
        <v>536830.662</v>
      </c>
      <c r="F191" s="34">
        <f t="shared" si="44"/>
        <v>493563.7131</v>
      </c>
      <c r="G191" s="34">
        <f t="shared" si="44"/>
        <v>450296.7642</v>
      </c>
      <c r="H191" s="34">
        <f t="shared" si="44"/>
        <v>407029.8154</v>
      </c>
      <c r="I191" s="34">
        <f t="shared" si="44"/>
        <v>363762.8665</v>
      </c>
      <c r="J191" s="34">
        <f t="shared" si="44"/>
        <v>0</v>
      </c>
      <c r="K191" s="34">
        <f t="shared" si="44"/>
        <v>0</v>
      </c>
      <c r="L191" s="34">
        <f t="shared" si="44"/>
        <v>0</v>
      </c>
      <c r="M191" s="34">
        <f t="shared" si="44"/>
        <v>0</v>
      </c>
      <c r="N191" s="7"/>
    </row>
    <row r="192">
      <c r="A192" s="2"/>
      <c r="B192" s="92" t="s">
        <v>424</v>
      </c>
      <c r="C192" s="26">
        <f t="shared" ref="C192:M192" si="45">C187+C188-C189</f>
        <v>1922975.506</v>
      </c>
      <c r="D192" s="26">
        <f t="shared" si="45"/>
        <v>1602479.588</v>
      </c>
      <c r="E192" s="26">
        <f t="shared" si="45"/>
        <v>1281983.67</v>
      </c>
      <c r="F192" s="26">
        <f t="shared" si="45"/>
        <v>961487.7528</v>
      </c>
      <c r="G192" s="26">
        <f t="shared" si="45"/>
        <v>640991.8352</v>
      </c>
      <c r="H192" s="26">
        <f t="shared" si="45"/>
        <v>320495.9176</v>
      </c>
      <c r="I192" s="26">
        <f t="shared" si="45"/>
        <v>-0.0000000003492459655</v>
      </c>
      <c r="J192" s="26">
        <f t="shared" si="45"/>
        <v>-0.0000000003492459655</v>
      </c>
      <c r="K192" s="26">
        <f t="shared" si="45"/>
        <v>-0.0000000003492459655</v>
      </c>
      <c r="L192" s="26">
        <f t="shared" si="45"/>
        <v>-0.0000000003492459655</v>
      </c>
      <c r="M192" s="26">
        <f t="shared" si="45"/>
        <v>0</v>
      </c>
      <c r="N192" s="2"/>
    </row>
    <row r="193">
      <c r="A193" s="7"/>
      <c r="B193" s="96" t="s">
        <v>425</v>
      </c>
      <c r="C193" s="166" t="s">
        <v>426</v>
      </c>
      <c r="D193" s="45">
        <f t="shared" ref="D193:M193" si="46">IF(D191=0,"-",C130/D191)</f>
        <v>0.9230585301</v>
      </c>
      <c r="E193" s="45">
        <f t="shared" si="46"/>
        <v>1.496181438</v>
      </c>
      <c r="F193" s="45">
        <f t="shared" si="46"/>
        <v>2.169786934</v>
      </c>
      <c r="G193" s="45">
        <f t="shared" si="46"/>
        <v>2.3782718</v>
      </c>
      <c r="H193" s="45">
        <f t="shared" si="46"/>
        <v>2.63108022</v>
      </c>
      <c r="I193" s="45">
        <f t="shared" si="46"/>
        <v>2.944028087</v>
      </c>
      <c r="J193" s="45">
        <f t="shared" si="46"/>
        <v>-2.27141E+16</v>
      </c>
      <c r="K193" s="45">
        <f t="shared" si="46"/>
        <v>-2.27141E+16</v>
      </c>
      <c r="L193" s="45">
        <f t="shared" si="46"/>
        <v>-2.27141E+16</v>
      </c>
      <c r="M193" s="45">
        <f t="shared" si="46"/>
        <v>-1.68252E+17</v>
      </c>
      <c r="N193" s="7"/>
    </row>
    <row r="194">
      <c r="A194" s="2"/>
      <c r="B194" s="11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>
      <c r="A195" s="7"/>
      <c r="B195" s="113" t="s">
        <v>428</v>
      </c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5"/>
    </row>
    <row r="196">
      <c r="A196" s="2"/>
      <c r="B196" s="92" t="s">
        <v>415</v>
      </c>
      <c r="C196" s="26">
        <f>C69*C29</f>
        <v>1922975.506</v>
      </c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>
      <c r="A197" s="7"/>
      <c r="B197" s="96" t="s">
        <v>416</v>
      </c>
      <c r="C197" s="24">
        <f t="shared" ref="C197:C198" si="47">C30</f>
        <v>0.135</v>
      </c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</row>
    <row r="198">
      <c r="A198" s="2"/>
      <c r="B198" s="92" t="s">
        <v>417</v>
      </c>
      <c r="C198" s="44">
        <f t="shared" si="47"/>
        <v>6</v>
      </c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>
      <c r="A199" s="7"/>
      <c r="B199" s="13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</row>
    <row r="200">
      <c r="A200" s="2"/>
      <c r="B200" s="197" t="s">
        <v>340</v>
      </c>
      <c r="C200" s="198" t="s">
        <v>418</v>
      </c>
      <c r="D200" s="198" t="s">
        <v>380</v>
      </c>
      <c r="E200" s="198" t="s">
        <v>381</v>
      </c>
      <c r="F200" s="198" t="s">
        <v>382</v>
      </c>
      <c r="G200" s="198" t="s">
        <v>383</v>
      </c>
      <c r="H200" s="198" t="s">
        <v>384</v>
      </c>
      <c r="I200" s="198" t="s">
        <v>385</v>
      </c>
      <c r="J200" s="198" t="s">
        <v>386</v>
      </c>
      <c r="K200" s="198" t="s">
        <v>387</v>
      </c>
      <c r="L200" s="198" t="s">
        <v>388</v>
      </c>
      <c r="M200" s="198" t="s">
        <v>389</v>
      </c>
      <c r="N200" s="30"/>
    </row>
    <row r="201">
      <c r="A201" s="7"/>
      <c r="B201" s="96" t="s">
        <v>419</v>
      </c>
      <c r="C201" s="20">
        <v>0.0</v>
      </c>
      <c r="D201" s="20">
        <f t="shared" ref="D201:L201" si="48">C206</f>
        <v>1922975.506</v>
      </c>
      <c r="E201" s="20">
        <f t="shared" si="48"/>
        <v>1602479.588</v>
      </c>
      <c r="F201" s="20">
        <f t="shared" si="48"/>
        <v>1281983.67</v>
      </c>
      <c r="G201" s="20">
        <f t="shared" si="48"/>
        <v>961487.7528</v>
      </c>
      <c r="H201" s="20">
        <f t="shared" si="48"/>
        <v>640991.8352</v>
      </c>
      <c r="I201" s="20">
        <f t="shared" si="48"/>
        <v>320495.9176</v>
      </c>
      <c r="J201" s="20">
        <f t="shared" si="48"/>
        <v>-0.0000000003492459655</v>
      </c>
      <c r="K201" s="20">
        <f t="shared" si="48"/>
        <v>-0.0000000003492459655</v>
      </c>
      <c r="L201" s="20">
        <f t="shared" si="48"/>
        <v>-0.0000000003492459655</v>
      </c>
      <c r="M201" s="20">
        <f>L205</f>
        <v>0</v>
      </c>
      <c r="N201" s="7"/>
    </row>
    <row r="202">
      <c r="A202" s="2"/>
      <c r="B202" s="92" t="s">
        <v>420</v>
      </c>
      <c r="C202" s="26">
        <f>C196</f>
        <v>1922975.506</v>
      </c>
      <c r="D202" s="26">
        <v>0.0</v>
      </c>
      <c r="E202" s="26">
        <v>0.0</v>
      </c>
      <c r="F202" s="26">
        <v>0.0</v>
      </c>
      <c r="G202" s="26">
        <v>0.0</v>
      </c>
      <c r="H202" s="26">
        <v>0.0</v>
      </c>
      <c r="I202" s="26">
        <v>0.0</v>
      </c>
      <c r="J202" s="26">
        <v>0.0</v>
      </c>
      <c r="K202" s="26">
        <v>0.0</v>
      </c>
      <c r="L202" s="26">
        <v>0.0</v>
      </c>
      <c r="M202" s="26">
        <v>0.0</v>
      </c>
      <c r="N202" s="2"/>
    </row>
    <row r="203">
      <c r="A203" s="7"/>
      <c r="B203" s="96" t="s">
        <v>421</v>
      </c>
      <c r="C203" s="20">
        <v>0.0</v>
      </c>
      <c r="D203" s="20">
        <f>IF(1&lt;=C198,C196/C198,0)</f>
        <v>320495.9176</v>
      </c>
      <c r="E203" s="20">
        <f>IF(2&lt;=C198,C196/C198,0)</f>
        <v>320495.9176</v>
      </c>
      <c r="F203" s="20">
        <f>IF(3&lt;=C198,C196/C198,0)</f>
        <v>320495.9176</v>
      </c>
      <c r="G203" s="20">
        <f>IF(4&lt;=C198,C196/C198,0)</f>
        <v>320495.9176</v>
      </c>
      <c r="H203" s="20">
        <f>IF(5&lt;=C198,C196/C198,0)</f>
        <v>320495.9176</v>
      </c>
      <c r="I203" s="20">
        <f>IF(6&lt;=C198,C196/C198,0)</f>
        <v>320495.9176</v>
      </c>
      <c r="J203" s="20">
        <f>IF(7&lt;=C198,C196/C198,0)</f>
        <v>0</v>
      </c>
      <c r="K203" s="20">
        <f>IF(8&lt;=C198,C196/C198,0)</f>
        <v>0</v>
      </c>
      <c r="L203" s="20">
        <f>IF(9&lt;=C198,C196/C198,0)</f>
        <v>0</v>
      </c>
      <c r="M203" s="20">
        <f>IF(10&lt;=C198,C196/C198,0)</f>
        <v>0</v>
      </c>
      <c r="N203" s="7"/>
    </row>
    <row r="204">
      <c r="A204" s="2"/>
      <c r="B204" s="92" t="s">
        <v>422</v>
      </c>
      <c r="C204" s="26">
        <v>0.0</v>
      </c>
      <c r="D204" s="26">
        <f>D201*C197</f>
        <v>259601.6933</v>
      </c>
      <c r="E204" s="26">
        <f>E201*C197</f>
        <v>216334.7444</v>
      </c>
      <c r="F204" s="26">
        <f>F201*C197</f>
        <v>173067.7955</v>
      </c>
      <c r="G204" s="26">
        <f>G201*C197</f>
        <v>129800.8466</v>
      </c>
      <c r="H204" s="26">
        <f>H201*C197</f>
        <v>86533.89775</v>
      </c>
      <c r="I204" s="26">
        <f>I201*C197</f>
        <v>43266.94888</v>
      </c>
      <c r="J204" s="26">
        <f>J201*C197</f>
        <v>0</v>
      </c>
      <c r="K204" s="26">
        <f>K201*C197</f>
        <v>0</v>
      </c>
      <c r="L204" s="26">
        <f>L201*C197</f>
        <v>0</v>
      </c>
      <c r="M204" s="26">
        <f>M201*C197</f>
        <v>0</v>
      </c>
      <c r="N204" s="2"/>
    </row>
    <row r="205">
      <c r="A205" s="7"/>
      <c r="B205" s="163" t="s">
        <v>423</v>
      </c>
      <c r="C205" s="34">
        <v>0.0</v>
      </c>
      <c r="D205" s="34">
        <f t="shared" ref="D205:M205" si="49">D203+D204</f>
        <v>580097.6109</v>
      </c>
      <c r="E205" s="34">
        <f t="shared" si="49"/>
        <v>536830.662</v>
      </c>
      <c r="F205" s="34">
        <f t="shared" si="49"/>
        <v>493563.7131</v>
      </c>
      <c r="G205" s="34">
        <f t="shared" si="49"/>
        <v>450296.7642</v>
      </c>
      <c r="H205" s="34">
        <f t="shared" si="49"/>
        <v>407029.8154</v>
      </c>
      <c r="I205" s="34">
        <f t="shared" si="49"/>
        <v>363762.8665</v>
      </c>
      <c r="J205" s="34">
        <f t="shared" si="49"/>
        <v>0</v>
      </c>
      <c r="K205" s="34">
        <f t="shared" si="49"/>
        <v>0</v>
      </c>
      <c r="L205" s="34">
        <f t="shared" si="49"/>
        <v>0</v>
      </c>
      <c r="M205" s="34">
        <f t="shared" si="49"/>
        <v>0</v>
      </c>
      <c r="N205" s="7"/>
    </row>
    <row r="206">
      <c r="A206" s="2"/>
      <c r="B206" s="92" t="s">
        <v>424</v>
      </c>
      <c r="C206" s="26">
        <f t="shared" ref="C206:M206" si="50">C201+C202-C203</f>
        <v>1922975.506</v>
      </c>
      <c r="D206" s="26">
        <f t="shared" si="50"/>
        <v>1602479.588</v>
      </c>
      <c r="E206" s="26">
        <f t="shared" si="50"/>
        <v>1281983.67</v>
      </c>
      <c r="F206" s="26">
        <f t="shared" si="50"/>
        <v>961487.7528</v>
      </c>
      <c r="G206" s="26">
        <f t="shared" si="50"/>
        <v>640991.8352</v>
      </c>
      <c r="H206" s="26">
        <f t="shared" si="50"/>
        <v>320495.9176</v>
      </c>
      <c r="I206" s="26">
        <f t="shared" si="50"/>
        <v>-0.0000000003492459655</v>
      </c>
      <c r="J206" s="26">
        <f t="shared" si="50"/>
        <v>-0.0000000003492459655</v>
      </c>
      <c r="K206" s="26">
        <f t="shared" si="50"/>
        <v>-0.0000000003492459655</v>
      </c>
      <c r="L206" s="26">
        <f t="shared" si="50"/>
        <v>-0.0000000003492459655</v>
      </c>
      <c r="M206" s="26">
        <f t="shared" si="50"/>
        <v>0</v>
      </c>
      <c r="N206" s="2"/>
    </row>
    <row r="207">
      <c r="A207" s="7"/>
      <c r="B207" s="96" t="s">
        <v>425</v>
      </c>
      <c r="C207" s="166" t="s">
        <v>426</v>
      </c>
      <c r="D207" s="45">
        <f t="shared" ref="D207:M207" si="51">IF(D205=0,"-",C148/D205)</f>
        <v>3.241465596</v>
      </c>
      <c r="E207" s="45">
        <f t="shared" si="51"/>
        <v>5.254077071</v>
      </c>
      <c r="F207" s="45">
        <f t="shared" si="51"/>
        <v>7.619548999</v>
      </c>
      <c r="G207" s="45">
        <f t="shared" si="51"/>
        <v>8.351676483</v>
      </c>
      <c r="H207" s="45">
        <f t="shared" si="51"/>
        <v>9.239453117</v>
      </c>
      <c r="I207" s="45">
        <f t="shared" si="51"/>
        <v>10.33841891</v>
      </c>
      <c r="J207" s="45">
        <f t="shared" si="51"/>
        <v>-7.97641E+16</v>
      </c>
      <c r="K207" s="45">
        <f t="shared" si="51"/>
        <v>-7.97641E+16</v>
      </c>
      <c r="L207" s="45">
        <f t="shared" si="51"/>
        <v>-7.97641E+16</v>
      </c>
      <c r="M207" s="45">
        <f t="shared" si="51"/>
        <v>-5.90845E+17</v>
      </c>
      <c r="N207" s="7"/>
    </row>
    <row r="208">
      <c r="A208" s="2"/>
      <c r="B208" s="11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</row>
    <row r="209">
      <c r="A209" s="7"/>
      <c r="B209" s="168" t="s">
        <v>613</v>
      </c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5"/>
    </row>
    <row r="210">
      <c r="A210" s="2"/>
      <c r="B210" s="199" t="s">
        <v>430</v>
      </c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5"/>
    </row>
    <row r="211">
      <c r="A211" s="7"/>
      <c r="B211" s="193" t="s">
        <v>340</v>
      </c>
      <c r="C211" s="187" t="s">
        <v>418</v>
      </c>
      <c r="D211" s="187" t="s">
        <v>380</v>
      </c>
      <c r="E211" s="187" t="s">
        <v>381</v>
      </c>
      <c r="F211" s="187" t="s">
        <v>382</v>
      </c>
      <c r="G211" s="187" t="s">
        <v>383</v>
      </c>
      <c r="H211" s="187" t="s">
        <v>384</v>
      </c>
      <c r="I211" s="187" t="s">
        <v>385</v>
      </c>
      <c r="J211" s="187" t="s">
        <v>386</v>
      </c>
      <c r="K211" s="187" t="s">
        <v>387</v>
      </c>
      <c r="L211" s="187" t="s">
        <v>388</v>
      </c>
      <c r="M211" s="187" t="s">
        <v>389</v>
      </c>
      <c r="N211" s="16"/>
    </row>
    <row r="212" ht="18.75" customHeight="1">
      <c r="A212" s="160"/>
      <c r="B212" s="170" t="s">
        <v>393</v>
      </c>
      <c r="C212" s="162">
        <v>0.0</v>
      </c>
      <c r="D212" s="162">
        <f t="shared" ref="D212:M212" si="52">C112</f>
        <v>199238.448</v>
      </c>
      <c r="E212" s="162">
        <f t="shared" si="52"/>
        <v>298857.672</v>
      </c>
      <c r="F212" s="162">
        <f t="shared" si="52"/>
        <v>398476.896</v>
      </c>
      <c r="G212" s="162">
        <f t="shared" si="52"/>
        <v>398476.896</v>
      </c>
      <c r="H212" s="162">
        <f t="shared" si="52"/>
        <v>398476.896</v>
      </c>
      <c r="I212" s="162">
        <f t="shared" si="52"/>
        <v>398476.896</v>
      </c>
      <c r="J212" s="162">
        <f t="shared" si="52"/>
        <v>398476.896</v>
      </c>
      <c r="K212" s="162">
        <f t="shared" si="52"/>
        <v>398476.896</v>
      </c>
      <c r="L212" s="162">
        <f t="shared" si="52"/>
        <v>398476.896</v>
      </c>
      <c r="M212" s="162">
        <f t="shared" si="52"/>
        <v>398476.896</v>
      </c>
      <c r="N212" s="160"/>
    </row>
    <row r="213">
      <c r="A213" s="7"/>
      <c r="B213" s="96" t="s">
        <v>431</v>
      </c>
      <c r="C213" s="20">
        <f>-C69</f>
        <v>-3204959.176</v>
      </c>
      <c r="D213" s="20">
        <v>0.0</v>
      </c>
      <c r="E213" s="20">
        <v>0.0</v>
      </c>
      <c r="F213" s="20">
        <v>0.0</v>
      </c>
      <c r="G213" s="20">
        <v>0.0</v>
      </c>
      <c r="H213" s="20">
        <v>0.0</v>
      </c>
      <c r="I213" s="20">
        <v>0.0</v>
      </c>
      <c r="J213" s="20">
        <v>0.0</v>
      </c>
      <c r="K213" s="20">
        <v>0.0</v>
      </c>
      <c r="L213" s="20">
        <v>0.0</v>
      </c>
      <c r="M213" s="20">
        <v>0.0</v>
      </c>
      <c r="N213" s="7"/>
    </row>
    <row r="214">
      <c r="A214" s="2"/>
      <c r="B214" s="92" t="s">
        <v>432</v>
      </c>
      <c r="C214" s="26">
        <v>0.0</v>
      </c>
      <c r="D214" s="26">
        <v>0.0</v>
      </c>
      <c r="E214" s="26">
        <v>0.0</v>
      </c>
      <c r="F214" s="26">
        <v>0.0</v>
      </c>
      <c r="G214" s="26">
        <v>0.0</v>
      </c>
      <c r="H214" s="26">
        <v>0.0</v>
      </c>
      <c r="I214" s="26">
        <v>0.0</v>
      </c>
      <c r="J214" s="26">
        <v>0.0</v>
      </c>
      <c r="K214" s="26">
        <v>0.0</v>
      </c>
      <c r="L214" s="26">
        <v>0.0</v>
      </c>
      <c r="M214" s="26">
        <v>0.0</v>
      </c>
      <c r="N214" s="2"/>
    </row>
    <row r="215">
      <c r="A215" s="7"/>
      <c r="B215" s="96" t="s">
        <v>433</v>
      </c>
      <c r="C215" s="20">
        <f>-C68</f>
        <v>-991159.176</v>
      </c>
      <c r="D215" s="20">
        <v>0.0</v>
      </c>
      <c r="E215" s="20">
        <v>0.0</v>
      </c>
      <c r="F215" s="20">
        <v>0.0</v>
      </c>
      <c r="G215" s="20">
        <v>0.0</v>
      </c>
      <c r="H215" s="20">
        <v>0.0</v>
      </c>
      <c r="I215" s="20">
        <v>0.0</v>
      </c>
      <c r="J215" s="20">
        <v>0.0</v>
      </c>
      <c r="K215" s="20">
        <v>0.0</v>
      </c>
      <c r="L215" s="20">
        <v>0.0</v>
      </c>
      <c r="M215" s="20">
        <v>0.0</v>
      </c>
      <c r="N215" s="7"/>
    </row>
    <row r="216">
      <c r="A216" s="2"/>
      <c r="B216" s="92" t="s">
        <v>434</v>
      </c>
      <c r="C216" s="26">
        <v>0.0</v>
      </c>
      <c r="D216" s="26">
        <f t="shared" ref="D216:M216" si="53">-D177</f>
        <v>-580097.6109</v>
      </c>
      <c r="E216" s="26">
        <f t="shared" si="53"/>
        <v>-536830.662</v>
      </c>
      <c r="F216" s="26">
        <f t="shared" si="53"/>
        <v>-493563.7131</v>
      </c>
      <c r="G216" s="26">
        <f t="shared" si="53"/>
        <v>-450296.7642</v>
      </c>
      <c r="H216" s="26">
        <f t="shared" si="53"/>
        <v>-407029.8154</v>
      </c>
      <c r="I216" s="26">
        <f t="shared" si="53"/>
        <v>-363762.8665</v>
      </c>
      <c r="J216" s="26">
        <f t="shared" si="53"/>
        <v>0</v>
      </c>
      <c r="K216" s="26">
        <f t="shared" si="53"/>
        <v>0</v>
      </c>
      <c r="L216" s="26">
        <f t="shared" si="53"/>
        <v>0</v>
      </c>
      <c r="M216" s="26">
        <f t="shared" si="53"/>
        <v>0</v>
      </c>
      <c r="N216" s="2"/>
    </row>
    <row r="217">
      <c r="A217" s="7"/>
      <c r="B217" s="163" t="s">
        <v>435</v>
      </c>
      <c r="C217" s="34">
        <f t="shared" ref="C217:M217" si="54">C212+C213+C214+C215+C216</f>
        <v>-4196118.352</v>
      </c>
      <c r="D217" s="34">
        <f t="shared" si="54"/>
        <v>-380859.1629</v>
      </c>
      <c r="E217" s="34">
        <f t="shared" si="54"/>
        <v>-237972.99</v>
      </c>
      <c r="F217" s="34">
        <f t="shared" si="54"/>
        <v>-95086.8171</v>
      </c>
      <c r="G217" s="34">
        <f t="shared" si="54"/>
        <v>-51819.86823</v>
      </c>
      <c r="H217" s="34">
        <f t="shared" si="54"/>
        <v>-8552.919352</v>
      </c>
      <c r="I217" s="34">
        <f t="shared" si="54"/>
        <v>34714.02952</v>
      </c>
      <c r="J217" s="34">
        <f t="shared" si="54"/>
        <v>398476.896</v>
      </c>
      <c r="K217" s="34">
        <f t="shared" si="54"/>
        <v>398476.896</v>
      </c>
      <c r="L217" s="34">
        <f t="shared" si="54"/>
        <v>398476.896</v>
      </c>
      <c r="M217" s="34">
        <f t="shared" si="54"/>
        <v>398476.896</v>
      </c>
      <c r="N217" s="7"/>
    </row>
    <row r="218">
      <c r="A218" s="2"/>
      <c r="B218" s="92" t="s">
        <v>436</v>
      </c>
      <c r="C218" s="26">
        <f>C217</f>
        <v>-4196118.352</v>
      </c>
      <c r="D218" s="26">
        <f t="shared" ref="D218:M218" si="55">C218+D217</f>
        <v>-4576977.515</v>
      </c>
      <c r="E218" s="26">
        <f t="shared" si="55"/>
        <v>-4814950.505</v>
      </c>
      <c r="F218" s="26">
        <f t="shared" si="55"/>
        <v>-4910037.322</v>
      </c>
      <c r="G218" s="26">
        <f t="shared" si="55"/>
        <v>-4961857.19</v>
      </c>
      <c r="H218" s="26">
        <f t="shared" si="55"/>
        <v>-4970410.11</v>
      </c>
      <c r="I218" s="26">
        <f t="shared" si="55"/>
        <v>-4935696.08</v>
      </c>
      <c r="J218" s="26">
        <f t="shared" si="55"/>
        <v>-4537219.184</v>
      </c>
      <c r="K218" s="26">
        <f t="shared" si="55"/>
        <v>-4138742.288</v>
      </c>
      <c r="L218" s="26">
        <f t="shared" si="55"/>
        <v>-3740265.392</v>
      </c>
      <c r="M218" s="26">
        <f t="shared" si="55"/>
        <v>-3341788.496</v>
      </c>
      <c r="N218" s="2"/>
    </row>
    <row r="219">
      <c r="A219" s="7"/>
      <c r="B219" s="13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</row>
    <row r="220">
      <c r="A220" s="2"/>
      <c r="B220" s="199" t="s">
        <v>437</v>
      </c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5"/>
    </row>
    <row r="221">
      <c r="A221" s="7"/>
      <c r="B221" s="193" t="s">
        <v>340</v>
      </c>
      <c r="C221" s="187" t="s">
        <v>418</v>
      </c>
      <c r="D221" s="187" t="s">
        <v>380</v>
      </c>
      <c r="E221" s="187" t="s">
        <v>381</v>
      </c>
      <c r="F221" s="187" t="s">
        <v>382</v>
      </c>
      <c r="G221" s="187" t="s">
        <v>383</v>
      </c>
      <c r="H221" s="187" t="s">
        <v>384</v>
      </c>
      <c r="I221" s="187" t="s">
        <v>385</v>
      </c>
      <c r="J221" s="187" t="s">
        <v>386</v>
      </c>
      <c r="K221" s="187" t="s">
        <v>387</v>
      </c>
      <c r="L221" s="187" t="s">
        <v>388</v>
      </c>
      <c r="M221" s="187" t="s">
        <v>389</v>
      </c>
      <c r="N221" s="16"/>
    </row>
    <row r="222" ht="18.75" customHeight="1">
      <c r="A222" s="160"/>
      <c r="B222" s="170" t="s">
        <v>393</v>
      </c>
      <c r="C222" s="162">
        <v>0.0</v>
      </c>
      <c r="D222" s="162">
        <f t="shared" ref="D222:M222" si="56">C130</f>
        <v>535464.048</v>
      </c>
      <c r="E222" s="162">
        <f t="shared" si="56"/>
        <v>803196.072</v>
      </c>
      <c r="F222" s="162">
        <f t="shared" si="56"/>
        <v>1070928.096</v>
      </c>
      <c r="G222" s="162">
        <f t="shared" si="56"/>
        <v>1070928.096</v>
      </c>
      <c r="H222" s="162">
        <f t="shared" si="56"/>
        <v>1070928.096</v>
      </c>
      <c r="I222" s="162">
        <f t="shared" si="56"/>
        <v>1070928.096</v>
      </c>
      <c r="J222" s="162">
        <f t="shared" si="56"/>
        <v>1070928.096</v>
      </c>
      <c r="K222" s="162">
        <f t="shared" si="56"/>
        <v>1070928.096</v>
      </c>
      <c r="L222" s="162">
        <f t="shared" si="56"/>
        <v>1070928.096</v>
      </c>
      <c r="M222" s="162">
        <f t="shared" si="56"/>
        <v>1070928.096</v>
      </c>
      <c r="N222" s="160"/>
    </row>
    <row r="223">
      <c r="A223" s="7"/>
      <c r="B223" s="96" t="s">
        <v>431</v>
      </c>
      <c r="C223" s="20">
        <f>-C69</f>
        <v>-3204959.176</v>
      </c>
      <c r="D223" s="20">
        <v>0.0</v>
      </c>
      <c r="E223" s="20">
        <v>0.0</v>
      </c>
      <c r="F223" s="20">
        <v>0.0</v>
      </c>
      <c r="G223" s="20">
        <v>0.0</v>
      </c>
      <c r="H223" s="20">
        <v>0.0</v>
      </c>
      <c r="I223" s="20">
        <v>0.0</v>
      </c>
      <c r="J223" s="20">
        <v>0.0</v>
      </c>
      <c r="K223" s="20">
        <v>0.0</v>
      </c>
      <c r="L223" s="20">
        <v>0.0</v>
      </c>
      <c r="M223" s="20">
        <v>0.0</v>
      </c>
      <c r="N223" s="7"/>
    </row>
    <row r="224">
      <c r="A224" s="2"/>
      <c r="B224" s="92" t="s">
        <v>432</v>
      </c>
      <c r="C224" s="26">
        <v>0.0</v>
      </c>
      <c r="D224" s="26">
        <v>0.0</v>
      </c>
      <c r="E224" s="26">
        <v>0.0</v>
      </c>
      <c r="F224" s="26">
        <v>0.0</v>
      </c>
      <c r="G224" s="26">
        <v>0.0</v>
      </c>
      <c r="H224" s="26">
        <v>0.0</v>
      </c>
      <c r="I224" s="26">
        <v>0.0</v>
      </c>
      <c r="J224" s="26">
        <v>0.0</v>
      </c>
      <c r="K224" s="26">
        <v>0.0</v>
      </c>
      <c r="L224" s="26">
        <v>0.0</v>
      </c>
      <c r="M224" s="26">
        <v>0.0</v>
      </c>
      <c r="N224" s="2"/>
    </row>
    <row r="225">
      <c r="A225" s="7"/>
      <c r="B225" s="96" t="s">
        <v>433</v>
      </c>
      <c r="C225" s="20">
        <f>-C68</f>
        <v>-991159.176</v>
      </c>
      <c r="D225" s="20">
        <v>0.0</v>
      </c>
      <c r="E225" s="20">
        <v>0.0</v>
      </c>
      <c r="F225" s="20">
        <v>0.0</v>
      </c>
      <c r="G225" s="20">
        <v>0.0</v>
      </c>
      <c r="H225" s="20">
        <v>0.0</v>
      </c>
      <c r="I225" s="20">
        <v>0.0</v>
      </c>
      <c r="J225" s="20">
        <v>0.0</v>
      </c>
      <c r="K225" s="20">
        <v>0.0</v>
      </c>
      <c r="L225" s="20">
        <v>0.0</v>
      </c>
      <c r="M225" s="20">
        <v>0.0</v>
      </c>
      <c r="N225" s="7"/>
    </row>
    <row r="226">
      <c r="A226" s="2"/>
      <c r="B226" s="92" t="s">
        <v>434</v>
      </c>
      <c r="C226" s="26">
        <v>0.0</v>
      </c>
      <c r="D226" s="26">
        <f t="shared" ref="D226:M226" si="57">-D191</f>
        <v>-580097.6109</v>
      </c>
      <c r="E226" s="26">
        <f t="shared" si="57"/>
        <v>-536830.662</v>
      </c>
      <c r="F226" s="26">
        <f t="shared" si="57"/>
        <v>-493563.7131</v>
      </c>
      <c r="G226" s="26">
        <f t="shared" si="57"/>
        <v>-450296.7642</v>
      </c>
      <c r="H226" s="26">
        <f t="shared" si="57"/>
        <v>-407029.8154</v>
      </c>
      <c r="I226" s="26">
        <f t="shared" si="57"/>
        <v>-363762.8665</v>
      </c>
      <c r="J226" s="26">
        <f t="shared" si="57"/>
        <v>0</v>
      </c>
      <c r="K226" s="26">
        <f t="shared" si="57"/>
        <v>0</v>
      </c>
      <c r="L226" s="26">
        <f t="shared" si="57"/>
        <v>0</v>
      </c>
      <c r="M226" s="26">
        <f t="shared" si="57"/>
        <v>0</v>
      </c>
      <c r="N226" s="2"/>
    </row>
    <row r="227">
      <c r="A227" s="7"/>
      <c r="B227" s="163" t="s">
        <v>435</v>
      </c>
      <c r="C227" s="34">
        <f t="shared" ref="C227:M227" si="58">C222+C223+C224+C225+C226</f>
        <v>-4196118.352</v>
      </c>
      <c r="D227" s="34">
        <f t="shared" si="58"/>
        <v>-44633.56286</v>
      </c>
      <c r="E227" s="34">
        <f t="shared" si="58"/>
        <v>266365.41</v>
      </c>
      <c r="F227" s="34">
        <f t="shared" si="58"/>
        <v>577364.3829</v>
      </c>
      <c r="G227" s="34">
        <f t="shared" si="58"/>
        <v>620631.3318</v>
      </c>
      <c r="H227" s="34">
        <f t="shared" si="58"/>
        <v>663898.2806</v>
      </c>
      <c r="I227" s="34">
        <f t="shared" si="58"/>
        <v>707165.2295</v>
      </c>
      <c r="J227" s="34">
        <f t="shared" si="58"/>
        <v>1070928.096</v>
      </c>
      <c r="K227" s="34">
        <f t="shared" si="58"/>
        <v>1070928.096</v>
      </c>
      <c r="L227" s="34">
        <f t="shared" si="58"/>
        <v>1070928.096</v>
      </c>
      <c r="M227" s="34">
        <f t="shared" si="58"/>
        <v>1070928.096</v>
      </c>
      <c r="N227" s="7"/>
    </row>
    <row r="228">
      <c r="A228" s="2"/>
      <c r="B228" s="92" t="s">
        <v>436</v>
      </c>
      <c r="C228" s="26">
        <f>C227</f>
        <v>-4196118.352</v>
      </c>
      <c r="D228" s="26">
        <f t="shared" ref="D228:M228" si="59">C228+D227</f>
        <v>-4240751.915</v>
      </c>
      <c r="E228" s="26">
        <f t="shared" si="59"/>
        <v>-3974386.505</v>
      </c>
      <c r="F228" s="26">
        <f t="shared" si="59"/>
        <v>-3397022.122</v>
      </c>
      <c r="G228" s="26">
        <f t="shared" si="59"/>
        <v>-2776390.79</v>
      </c>
      <c r="H228" s="26">
        <f t="shared" si="59"/>
        <v>-2112492.51</v>
      </c>
      <c r="I228" s="26">
        <f t="shared" si="59"/>
        <v>-1405327.28</v>
      </c>
      <c r="J228" s="26">
        <f t="shared" si="59"/>
        <v>-334399.184</v>
      </c>
      <c r="K228" s="26">
        <f t="shared" si="59"/>
        <v>736528.912</v>
      </c>
      <c r="L228" s="26">
        <f t="shared" si="59"/>
        <v>1807457.008</v>
      </c>
      <c r="M228" s="26">
        <f t="shared" si="59"/>
        <v>2878385.104</v>
      </c>
      <c r="N228" s="2"/>
    </row>
    <row r="229">
      <c r="A229" s="7"/>
      <c r="B229" s="13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</row>
    <row r="230">
      <c r="A230" s="2"/>
      <c r="B230" s="199" t="s">
        <v>438</v>
      </c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5"/>
    </row>
    <row r="231">
      <c r="A231" s="7"/>
      <c r="B231" s="193" t="s">
        <v>340</v>
      </c>
      <c r="C231" s="187" t="s">
        <v>418</v>
      </c>
      <c r="D231" s="187" t="s">
        <v>380</v>
      </c>
      <c r="E231" s="187" t="s">
        <v>381</v>
      </c>
      <c r="F231" s="187" t="s">
        <v>382</v>
      </c>
      <c r="G231" s="187" t="s">
        <v>383</v>
      </c>
      <c r="H231" s="187" t="s">
        <v>384</v>
      </c>
      <c r="I231" s="187" t="s">
        <v>385</v>
      </c>
      <c r="J231" s="187" t="s">
        <v>386</v>
      </c>
      <c r="K231" s="187" t="s">
        <v>387</v>
      </c>
      <c r="L231" s="187" t="s">
        <v>388</v>
      </c>
      <c r="M231" s="187" t="s">
        <v>389</v>
      </c>
      <c r="N231" s="16"/>
    </row>
    <row r="232" ht="18.75" customHeight="1">
      <c r="A232" s="160"/>
      <c r="B232" s="170" t="s">
        <v>393</v>
      </c>
      <c r="C232" s="162">
        <v>0.0</v>
      </c>
      <c r="D232" s="162">
        <f t="shared" ref="D232:M232" si="60">C148</f>
        <v>1880366.448</v>
      </c>
      <c r="E232" s="162">
        <f t="shared" si="60"/>
        <v>2820549.672</v>
      </c>
      <c r="F232" s="162">
        <f t="shared" si="60"/>
        <v>3760732.896</v>
      </c>
      <c r="G232" s="162">
        <f t="shared" si="60"/>
        <v>3760732.896</v>
      </c>
      <c r="H232" s="162">
        <f t="shared" si="60"/>
        <v>3760732.896</v>
      </c>
      <c r="I232" s="162">
        <f t="shared" si="60"/>
        <v>3760732.896</v>
      </c>
      <c r="J232" s="162">
        <f t="shared" si="60"/>
        <v>3760732.896</v>
      </c>
      <c r="K232" s="162">
        <f t="shared" si="60"/>
        <v>3760732.896</v>
      </c>
      <c r="L232" s="162">
        <f t="shared" si="60"/>
        <v>3760732.896</v>
      </c>
      <c r="M232" s="162">
        <f t="shared" si="60"/>
        <v>3760732.896</v>
      </c>
      <c r="N232" s="160"/>
    </row>
    <row r="233">
      <c r="A233" s="7"/>
      <c r="B233" s="96" t="s">
        <v>431</v>
      </c>
      <c r="C233" s="20">
        <f>-C69</f>
        <v>-3204959.176</v>
      </c>
      <c r="D233" s="20">
        <v>0.0</v>
      </c>
      <c r="E233" s="20">
        <v>0.0</v>
      </c>
      <c r="F233" s="20">
        <v>0.0</v>
      </c>
      <c r="G233" s="20">
        <v>0.0</v>
      </c>
      <c r="H233" s="20">
        <v>0.0</v>
      </c>
      <c r="I233" s="20">
        <v>0.0</v>
      </c>
      <c r="J233" s="20">
        <v>0.0</v>
      </c>
      <c r="K233" s="20">
        <v>0.0</v>
      </c>
      <c r="L233" s="20">
        <v>0.0</v>
      </c>
      <c r="M233" s="20">
        <v>0.0</v>
      </c>
      <c r="N233" s="7"/>
    </row>
    <row r="234">
      <c r="A234" s="2"/>
      <c r="B234" s="92" t="s">
        <v>432</v>
      </c>
      <c r="C234" s="26">
        <v>0.0</v>
      </c>
      <c r="D234" s="26">
        <v>0.0</v>
      </c>
      <c r="E234" s="26">
        <v>0.0</v>
      </c>
      <c r="F234" s="26">
        <v>0.0</v>
      </c>
      <c r="G234" s="26">
        <v>0.0</v>
      </c>
      <c r="H234" s="26">
        <v>0.0</v>
      </c>
      <c r="I234" s="26">
        <v>0.0</v>
      </c>
      <c r="J234" s="26">
        <v>0.0</v>
      </c>
      <c r="K234" s="26">
        <v>0.0</v>
      </c>
      <c r="L234" s="26">
        <v>0.0</v>
      </c>
      <c r="M234" s="26">
        <v>0.0</v>
      </c>
      <c r="N234" s="2"/>
    </row>
    <row r="235">
      <c r="A235" s="7"/>
      <c r="B235" s="96" t="s">
        <v>433</v>
      </c>
      <c r="C235" s="20">
        <f>-C68</f>
        <v>-991159.176</v>
      </c>
      <c r="D235" s="20">
        <v>0.0</v>
      </c>
      <c r="E235" s="20">
        <v>0.0</v>
      </c>
      <c r="F235" s="20">
        <v>0.0</v>
      </c>
      <c r="G235" s="20">
        <v>0.0</v>
      </c>
      <c r="H235" s="20">
        <v>0.0</v>
      </c>
      <c r="I235" s="20">
        <v>0.0</v>
      </c>
      <c r="J235" s="20">
        <v>0.0</v>
      </c>
      <c r="K235" s="20">
        <v>0.0</v>
      </c>
      <c r="L235" s="20">
        <v>0.0</v>
      </c>
      <c r="M235" s="20">
        <v>0.0</v>
      </c>
      <c r="N235" s="7"/>
    </row>
    <row r="236">
      <c r="A236" s="2"/>
      <c r="B236" s="92" t="s">
        <v>434</v>
      </c>
      <c r="C236" s="26">
        <v>0.0</v>
      </c>
      <c r="D236" s="26">
        <f t="shared" ref="D236:M236" si="61">-D205</f>
        <v>-580097.6109</v>
      </c>
      <c r="E236" s="26">
        <f t="shared" si="61"/>
        <v>-536830.662</v>
      </c>
      <c r="F236" s="26">
        <f t="shared" si="61"/>
        <v>-493563.7131</v>
      </c>
      <c r="G236" s="26">
        <f t="shared" si="61"/>
        <v>-450296.7642</v>
      </c>
      <c r="H236" s="26">
        <f t="shared" si="61"/>
        <v>-407029.8154</v>
      </c>
      <c r="I236" s="26">
        <f t="shared" si="61"/>
        <v>-363762.8665</v>
      </c>
      <c r="J236" s="26">
        <f t="shared" si="61"/>
        <v>0</v>
      </c>
      <c r="K236" s="26">
        <f t="shared" si="61"/>
        <v>0</v>
      </c>
      <c r="L236" s="26">
        <f t="shared" si="61"/>
        <v>0</v>
      </c>
      <c r="M236" s="26">
        <f t="shared" si="61"/>
        <v>0</v>
      </c>
      <c r="N236" s="2"/>
    </row>
    <row r="237">
      <c r="A237" s="7"/>
      <c r="B237" s="163" t="s">
        <v>435</v>
      </c>
      <c r="C237" s="34">
        <f t="shared" ref="C237:M237" si="62">C232+C233+C234+C235+C236</f>
        <v>-4196118.352</v>
      </c>
      <c r="D237" s="34">
        <f t="shared" si="62"/>
        <v>1300268.837</v>
      </c>
      <c r="E237" s="34">
        <f t="shared" si="62"/>
        <v>2283719.01</v>
      </c>
      <c r="F237" s="34">
        <f t="shared" si="62"/>
        <v>3267169.183</v>
      </c>
      <c r="G237" s="34">
        <f t="shared" si="62"/>
        <v>3310436.132</v>
      </c>
      <c r="H237" s="34">
        <f t="shared" si="62"/>
        <v>3353703.081</v>
      </c>
      <c r="I237" s="34">
        <f t="shared" si="62"/>
        <v>3396970.03</v>
      </c>
      <c r="J237" s="34">
        <f t="shared" si="62"/>
        <v>3760732.896</v>
      </c>
      <c r="K237" s="34">
        <f t="shared" si="62"/>
        <v>3760732.896</v>
      </c>
      <c r="L237" s="34">
        <f t="shared" si="62"/>
        <v>3760732.896</v>
      </c>
      <c r="M237" s="34">
        <f t="shared" si="62"/>
        <v>3760732.896</v>
      </c>
      <c r="N237" s="7"/>
    </row>
    <row r="238">
      <c r="A238" s="2"/>
      <c r="B238" s="92" t="s">
        <v>436</v>
      </c>
      <c r="C238" s="26">
        <f>C237</f>
        <v>-4196118.352</v>
      </c>
      <c r="D238" s="26">
        <f t="shared" ref="D238:M238" si="63">C238+D237</f>
        <v>-2895849.515</v>
      </c>
      <c r="E238" s="26">
        <f t="shared" si="63"/>
        <v>-612130.5048</v>
      </c>
      <c r="F238" s="26">
        <f t="shared" si="63"/>
        <v>2655038.678</v>
      </c>
      <c r="G238" s="26">
        <f t="shared" si="63"/>
        <v>5965474.81</v>
      </c>
      <c r="H238" s="26">
        <f t="shared" si="63"/>
        <v>9319177.89</v>
      </c>
      <c r="I238" s="26">
        <f t="shared" si="63"/>
        <v>12716147.92</v>
      </c>
      <c r="J238" s="26">
        <f t="shared" si="63"/>
        <v>16476880.82</v>
      </c>
      <c r="K238" s="26">
        <f t="shared" si="63"/>
        <v>20237613.71</v>
      </c>
      <c r="L238" s="26">
        <f t="shared" si="63"/>
        <v>23998346.61</v>
      </c>
      <c r="M238" s="26">
        <f t="shared" si="63"/>
        <v>27759079.5</v>
      </c>
      <c r="N238" s="2"/>
    </row>
    <row r="239">
      <c r="A239" s="7"/>
      <c r="B239" s="13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</row>
    <row r="240">
      <c r="A240" s="2"/>
      <c r="B240" s="120" t="s">
        <v>614</v>
      </c>
      <c r="C240" s="4"/>
      <c r="D240" s="4"/>
      <c r="E240" s="4"/>
      <c r="F240" s="4"/>
      <c r="G240" s="4"/>
      <c r="H240" s="5"/>
      <c r="I240" s="183"/>
      <c r="J240" s="183"/>
      <c r="K240" s="183"/>
      <c r="L240" s="183"/>
      <c r="M240" s="183"/>
      <c r="N240" s="183"/>
    </row>
    <row r="241">
      <c r="A241" s="7"/>
      <c r="B241" s="113" t="s">
        <v>440</v>
      </c>
      <c r="C241" s="4"/>
      <c r="D241" s="4"/>
      <c r="E241" s="4"/>
      <c r="F241" s="4"/>
      <c r="G241" s="4"/>
      <c r="H241" s="5"/>
      <c r="I241" s="7"/>
      <c r="J241" s="7"/>
      <c r="K241" s="7"/>
      <c r="L241" s="7"/>
      <c r="M241" s="7"/>
      <c r="N241" s="7"/>
    </row>
    <row r="242">
      <c r="A242" s="2"/>
      <c r="B242" s="197" t="s">
        <v>340</v>
      </c>
      <c r="C242" s="198" t="s">
        <v>418</v>
      </c>
      <c r="D242" s="198" t="s">
        <v>382</v>
      </c>
      <c r="E242" s="198" t="s">
        <v>384</v>
      </c>
      <c r="F242" s="198" t="s">
        <v>389</v>
      </c>
      <c r="G242" s="30"/>
      <c r="H242" s="30"/>
      <c r="I242" s="30"/>
      <c r="J242" s="30"/>
      <c r="K242" s="30"/>
      <c r="L242" s="30"/>
      <c r="M242" s="30"/>
      <c r="N242" s="30"/>
    </row>
    <row r="243">
      <c r="A243" s="7"/>
      <c r="B243" s="163" t="s">
        <v>441</v>
      </c>
      <c r="C243" s="131"/>
      <c r="D243" s="131"/>
      <c r="E243" s="131"/>
      <c r="F243" s="131"/>
      <c r="G243" s="7"/>
      <c r="H243" s="7"/>
      <c r="I243" s="7"/>
      <c r="J243" s="7"/>
      <c r="K243" s="7"/>
      <c r="L243" s="7"/>
      <c r="M243" s="7"/>
      <c r="N243" s="7"/>
    </row>
    <row r="244">
      <c r="A244" s="2"/>
      <c r="B244" s="92" t="s">
        <v>442</v>
      </c>
      <c r="C244" s="26">
        <f>C65+C66</f>
        <v>2158800</v>
      </c>
      <c r="D244" s="26">
        <f>C244-E164*3</f>
        <v>1574160</v>
      </c>
      <c r="E244" s="26">
        <f>C244-E164*5</f>
        <v>1184400</v>
      </c>
      <c r="F244" s="26">
        <f>MAX(0,C244-E164*10)</f>
        <v>210000</v>
      </c>
      <c r="G244" s="2"/>
      <c r="H244" s="2"/>
      <c r="I244" s="2"/>
      <c r="J244" s="2"/>
      <c r="K244" s="2"/>
      <c r="L244" s="2"/>
      <c r="M244" s="2"/>
      <c r="N244" s="2"/>
    </row>
    <row r="245">
      <c r="A245" s="7"/>
      <c r="B245" s="96" t="s">
        <v>443</v>
      </c>
      <c r="C245" s="20">
        <f>C68</f>
        <v>991159.176</v>
      </c>
      <c r="D245" s="20">
        <f>C68</f>
        <v>991159.176</v>
      </c>
      <c r="E245" s="20">
        <f>C68</f>
        <v>991159.176</v>
      </c>
      <c r="F245" s="20">
        <f>C68</f>
        <v>991159.176</v>
      </c>
      <c r="G245" s="7"/>
      <c r="H245" s="7"/>
      <c r="I245" s="7"/>
      <c r="J245" s="7"/>
      <c r="K245" s="7"/>
      <c r="L245" s="7"/>
      <c r="M245" s="7"/>
      <c r="N245" s="7"/>
    </row>
    <row r="246">
      <c r="A246" s="2"/>
      <c r="B246" s="152" t="s">
        <v>444</v>
      </c>
      <c r="C246" s="22">
        <f t="shared" ref="C246:F246" si="64">C244+C245</f>
        <v>3149959.176</v>
      </c>
      <c r="D246" s="22">
        <f t="shared" si="64"/>
        <v>2565319.176</v>
      </c>
      <c r="E246" s="22">
        <f t="shared" si="64"/>
        <v>2175559.176</v>
      </c>
      <c r="F246" s="22">
        <f t="shared" si="64"/>
        <v>1201159.176</v>
      </c>
      <c r="G246" s="2"/>
      <c r="H246" s="2"/>
      <c r="I246" s="2"/>
      <c r="J246" s="2"/>
      <c r="K246" s="2"/>
      <c r="L246" s="2"/>
      <c r="M246" s="2"/>
      <c r="N246" s="2"/>
    </row>
    <row r="247">
      <c r="A247" s="7"/>
      <c r="B247" s="13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</row>
    <row r="248">
      <c r="A248" s="2"/>
      <c r="B248" s="152" t="s">
        <v>445</v>
      </c>
      <c r="C248" s="130"/>
      <c r="D248" s="130"/>
      <c r="E248" s="130"/>
      <c r="F248" s="130"/>
      <c r="G248" s="2"/>
      <c r="H248" s="2"/>
      <c r="I248" s="2"/>
      <c r="J248" s="2"/>
      <c r="K248" s="2"/>
      <c r="L248" s="2"/>
      <c r="M248" s="2"/>
      <c r="N248" s="2"/>
    </row>
    <row r="249">
      <c r="A249" s="7"/>
      <c r="B249" s="96" t="s">
        <v>446</v>
      </c>
      <c r="C249" s="20">
        <f>C178</f>
        <v>1922975.506</v>
      </c>
      <c r="D249" s="20">
        <f>F178</f>
        <v>961487.7528</v>
      </c>
      <c r="E249" s="20">
        <f>H178</f>
        <v>320495.9176</v>
      </c>
      <c r="F249" s="20">
        <f>M178</f>
        <v>0</v>
      </c>
      <c r="G249" s="7"/>
      <c r="H249" s="7"/>
      <c r="I249" s="7"/>
      <c r="J249" s="7"/>
      <c r="K249" s="7"/>
      <c r="L249" s="7"/>
      <c r="M249" s="7"/>
      <c r="N249" s="7"/>
    </row>
    <row r="250">
      <c r="A250" s="2"/>
      <c r="B250" s="92" t="s">
        <v>447</v>
      </c>
      <c r="C250" s="26">
        <f t="shared" ref="C250:F250" si="65">C246-C249</f>
        <v>1226983.67</v>
      </c>
      <c r="D250" s="26">
        <f t="shared" si="65"/>
        <v>1603831.423</v>
      </c>
      <c r="E250" s="26">
        <f t="shared" si="65"/>
        <v>1855063.258</v>
      </c>
      <c r="F250" s="26">
        <f t="shared" si="65"/>
        <v>1201159.176</v>
      </c>
      <c r="G250" s="2"/>
      <c r="H250" s="2"/>
      <c r="I250" s="2"/>
      <c r="J250" s="2"/>
      <c r="K250" s="2"/>
      <c r="L250" s="2"/>
      <c r="M250" s="2"/>
      <c r="N250" s="2"/>
    </row>
    <row r="251">
      <c r="A251" s="7"/>
      <c r="B251" s="163" t="s">
        <v>448</v>
      </c>
      <c r="C251" s="34">
        <f t="shared" ref="C251:F251" si="66">C249+C250</f>
        <v>3149959.176</v>
      </c>
      <c r="D251" s="34">
        <f t="shared" si="66"/>
        <v>2565319.176</v>
      </c>
      <c r="E251" s="34">
        <f t="shared" si="66"/>
        <v>2175559.176</v>
      </c>
      <c r="F251" s="34">
        <f t="shared" si="66"/>
        <v>1201159.176</v>
      </c>
      <c r="G251" s="7"/>
      <c r="H251" s="7"/>
      <c r="I251" s="7"/>
      <c r="J251" s="7"/>
      <c r="K251" s="7"/>
      <c r="L251" s="7"/>
      <c r="M251" s="7"/>
      <c r="N251" s="7"/>
    </row>
    <row r="252">
      <c r="A252" s="2"/>
      <c r="B252" s="171" t="s">
        <v>449</v>
      </c>
      <c r="C252" s="172" t="str">
        <f t="shared" ref="C252:F252" si="67">IF(ABS(C246-C251)&lt;1,"OK","ERROR")</f>
        <v>OK</v>
      </c>
      <c r="D252" s="172" t="str">
        <f t="shared" si="67"/>
        <v>OK</v>
      </c>
      <c r="E252" s="172" t="str">
        <f t="shared" si="67"/>
        <v>OK</v>
      </c>
      <c r="F252" s="172" t="str">
        <f t="shared" si="67"/>
        <v>OK</v>
      </c>
      <c r="G252" s="2"/>
      <c r="H252" s="2"/>
      <c r="I252" s="2"/>
      <c r="J252" s="2"/>
      <c r="K252" s="2"/>
      <c r="L252" s="2"/>
      <c r="M252" s="2"/>
      <c r="N252" s="2"/>
    </row>
    <row r="253">
      <c r="A253" s="7"/>
      <c r="B253" s="13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</row>
    <row r="254">
      <c r="A254" s="2"/>
      <c r="B254" s="199" t="s">
        <v>450</v>
      </c>
      <c r="C254" s="4"/>
      <c r="D254" s="4"/>
      <c r="E254" s="4"/>
      <c r="F254" s="4"/>
      <c r="G254" s="4"/>
      <c r="H254" s="5"/>
      <c r="I254" s="2"/>
      <c r="J254" s="2"/>
      <c r="K254" s="2"/>
      <c r="L254" s="2"/>
      <c r="M254" s="2"/>
      <c r="N254" s="2"/>
    </row>
    <row r="255">
      <c r="A255" s="7"/>
      <c r="B255" s="193" t="s">
        <v>340</v>
      </c>
      <c r="C255" s="187" t="s">
        <v>418</v>
      </c>
      <c r="D255" s="187" t="s">
        <v>382</v>
      </c>
      <c r="E255" s="187" t="s">
        <v>384</v>
      </c>
      <c r="F255" s="187" t="s">
        <v>389</v>
      </c>
      <c r="G255" s="16"/>
      <c r="H255" s="16"/>
      <c r="I255" s="16"/>
      <c r="J255" s="16"/>
      <c r="K255" s="16"/>
      <c r="L255" s="16"/>
      <c r="M255" s="16"/>
      <c r="N255" s="16"/>
    </row>
    <row r="256">
      <c r="A256" s="2"/>
      <c r="B256" s="152" t="s">
        <v>441</v>
      </c>
      <c r="C256" s="130"/>
      <c r="D256" s="130"/>
      <c r="E256" s="130"/>
      <c r="F256" s="130"/>
      <c r="G256" s="2"/>
      <c r="H256" s="2"/>
      <c r="I256" s="2"/>
      <c r="J256" s="2"/>
      <c r="K256" s="2"/>
      <c r="L256" s="2"/>
      <c r="M256" s="2"/>
      <c r="N256" s="2"/>
    </row>
    <row r="257">
      <c r="A257" s="7"/>
      <c r="B257" s="96" t="s">
        <v>442</v>
      </c>
      <c r="C257" s="20">
        <f>C65+C66</f>
        <v>2158800</v>
      </c>
      <c r="D257" s="20">
        <f>C257-E164*3</f>
        <v>1574160</v>
      </c>
      <c r="E257" s="20">
        <f>C257-E164*5</f>
        <v>1184400</v>
      </c>
      <c r="F257" s="20">
        <f>MAX(0,C257-E164*10)</f>
        <v>210000</v>
      </c>
      <c r="G257" s="7"/>
      <c r="H257" s="7"/>
      <c r="I257" s="7"/>
      <c r="J257" s="7"/>
      <c r="K257" s="7"/>
      <c r="L257" s="7"/>
      <c r="M257" s="7"/>
      <c r="N257" s="7"/>
    </row>
    <row r="258">
      <c r="A258" s="2"/>
      <c r="B258" s="92" t="s">
        <v>443</v>
      </c>
      <c r="C258" s="26">
        <f>C68</f>
        <v>991159.176</v>
      </c>
      <c r="D258" s="26">
        <f>C68</f>
        <v>991159.176</v>
      </c>
      <c r="E258" s="26">
        <f>C68</f>
        <v>991159.176</v>
      </c>
      <c r="F258" s="26">
        <f>C68</f>
        <v>991159.176</v>
      </c>
      <c r="G258" s="2"/>
      <c r="H258" s="2"/>
      <c r="I258" s="2"/>
      <c r="J258" s="2"/>
      <c r="K258" s="2"/>
      <c r="L258" s="2"/>
      <c r="M258" s="2"/>
      <c r="N258" s="2"/>
    </row>
    <row r="259">
      <c r="A259" s="7"/>
      <c r="B259" s="163" t="s">
        <v>444</v>
      </c>
      <c r="C259" s="34">
        <f t="shared" ref="C259:F259" si="68">C257+C258</f>
        <v>3149959.176</v>
      </c>
      <c r="D259" s="34">
        <f t="shared" si="68"/>
        <v>2565319.176</v>
      </c>
      <c r="E259" s="34">
        <f t="shared" si="68"/>
        <v>2175559.176</v>
      </c>
      <c r="F259" s="34">
        <f t="shared" si="68"/>
        <v>1201159.176</v>
      </c>
      <c r="G259" s="7"/>
      <c r="H259" s="7"/>
      <c r="I259" s="7"/>
      <c r="J259" s="7"/>
      <c r="K259" s="7"/>
      <c r="L259" s="7"/>
      <c r="M259" s="7"/>
      <c r="N259" s="7"/>
    </row>
    <row r="260">
      <c r="A260" s="2"/>
      <c r="B260" s="11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</row>
    <row r="261">
      <c r="A261" s="7"/>
      <c r="B261" s="163" t="s">
        <v>445</v>
      </c>
      <c r="C261" s="131"/>
      <c r="D261" s="131"/>
      <c r="E261" s="131"/>
      <c r="F261" s="131"/>
      <c r="G261" s="7"/>
      <c r="H261" s="7"/>
      <c r="I261" s="7"/>
      <c r="J261" s="7"/>
      <c r="K261" s="7"/>
      <c r="L261" s="7"/>
      <c r="M261" s="7"/>
      <c r="N261" s="7"/>
    </row>
    <row r="262">
      <c r="A262" s="2"/>
      <c r="B262" s="92" t="s">
        <v>446</v>
      </c>
      <c r="C262" s="26">
        <f>C192</f>
        <v>1922975.506</v>
      </c>
      <c r="D262" s="26">
        <f>F192</f>
        <v>961487.7528</v>
      </c>
      <c r="E262" s="26">
        <f>H192</f>
        <v>320495.9176</v>
      </c>
      <c r="F262" s="26">
        <f>M192</f>
        <v>0</v>
      </c>
      <c r="G262" s="2"/>
      <c r="H262" s="2"/>
      <c r="I262" s="2"/>
      <c r="J262" s="2"/>
      <c r="K262" s="2"/>
      <c r="L262" s="2"/>
      <c r="M262" s="2"/>
      <c r="N262" s="2"/>
    </row>
    <row r="263">
      <c r="A263" s="7"/>
      <c r="B263" s="96" t="s">
        <v>447</v>
      </c>
      <c r="C263" s="20">
        <f t="shared" ref="C263:F263" si="69">C259-C262</f>
        <v>1226983.67</v>
      </c>
      <c r="D263" s="20">
        <f t="shared" si="69"/>
        <v>1603831.423</v>
      </c>
      <c r="E263" s="20">
        <f t="shared" si="69"/>
        <v>1855063.258</v>
      </c>
      <c r="F263" s="20">
        <f t="shared" si="69"/>
        <v>1201159.176</v>
      </c>
      <c r="G263" s="7"/>
      <c r="H263" s="7"/>
      <c r="I263" s="7"/>
      <c r="J263" s="7"/>
      <c r="K263" s="7"/>
      <c r="L263" s="7"/>
      <c r="M263" s="7"/>
      <c r="N263" s="7"/>
    </row>
    <row r="264">
      <c r="A264" s="2"/>
      <c r="B264" s="152" t="s">
        <v>448</v>
      </c>
      <c r="C264" s="22">
        <f t="shared" ref="C264:F264" si="70">C262+C263</f>
        <v>3149959.176</v>
      </c>
      <c r="D264" s="22">
        <f t="shared" si="70"/>
        <v>2565319.176</v>
      </c>
      <c r="E264" s="22">
        <f t="shared" si="70"/>
        <v>2175559.176</v>
      </c>
      <c r="F264" s="22">
        <f t="shared" si="70"/>
        <v>1201159.176</v>
      </c>
      <c r="G264" s="2"/>
      <c r="H264" s="2"/>
      <c r="I264" s="2"/>
      <c r="J264" s="2"/>
      <c r="K264" s="2"/>
      <c r="L264" s="2"/>
      <c r="M264" s="2"/>
      <c r="N264" s="2"/>
    </row>
    <row r="265">
      <c r="A265" s="7"/>
      <c r="B265" s="173" t="s">
        <v>449</v>
      </c>
      <c r="C265" s="174" t="str">
        <f t="shared" ref="C265:F265" si="71">IF(ABS(C259-C264)&lt;1,"OK","ERROR")</f>
        <v>OK</v>
      </c>
      <c r="D265" s="174" t="str">
        <f t="shared" si="71"/>
        <v>OK</v>
      </c>
      <c r="E265" s="174" t="str">
        <f t="shared" si="71"/>
        <v>OK</v>
      </c>
      <c r="F265" s="174" t="str">
        <f t="shared" si="71"/>
        <v>OK</v>
      </c>
      <c r="G265" s="7"/>
      <c r="H265" s="7"/>
      <c r="I265" s="7"/>
      <c r="J265" s="7"/>
      <c r="K265" s="7"/>
      <c r="L265" s="7"/>
      <c r="M265" s="7"/>
      <c r="N265" s="7"/>
    </row>
    <row r="266">
      <c r="A266" s="2"/>
      <c r="B266" s="11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</row>
    <row r="267">
      <c r="A267" s="7"/>
      <c r="B267" s="113" t="s">
        <v>451</v>
      </c>
      <c r="C267" s="4"/>
      <c r="D267" s="4"/>
      <c r="E267" s="4"/>
      <c r="F267" s="4"/>
      <c r="G267" s="4"/>
      <c r="H267" s="5"/>
      <c r="I267" s="7"/>
      <c r="J267" s="7"/>
      <c r="K267" s="7"/>
      <c r="L267" s="7"/>
      <c r="M267" s="7"/>
      <c r="N267" s="7"/>
    </row>
    <row r="268">
      <c r="A268" s="2"/>
      <c r="B268" s="197" t="s">
        <v>340</v>
      </c>
      <c r="C268" s="198" t="s">
        <v>418</v>
      </c>
      <c r="D268" s="198" t="s">
        <v>382</v>
      </c>
      <c r="E268" s="198" t="s">
        <v>384</v>
      </c>
      <c r="F268" s="198" t="s">
        <v>389</v>
      </c>
      <c r="G268" s="30"/>
      <c r="H268" s="30"/>
      <c r="I268" s="30"/>
      <c r="J268" s="30"/>
      <c r="K268" s="30"/>
      <c r="L268" s="30"/>
      <c r="M268" s="30"/>
      <c r="N268" s="30"/>
    </row>
    <row r="269">
      <c r="A269" s="7"/>
      <c r="B269" s="163" t="s">
        <v>441</v>
      </c>
      <c r="C269" s="131"/>
      <c r="D269" s="131"/>
      <c r="E269" s="131"/>
      <c r="F269" s="131"/>
      <c r="G269" s="7"/>
      <c r="H269" s="7"/>
      <c r="I269" s="7"/>
      <c r="J269" s="7"/>
      <c r="K269" s="7"/>
      <c r="L269" s="7"/>
      <c r="M269" s="7"/>
      <c r="N269" s="7"/>
    </row>
    <row r="270">
      <c r="A270" s="2"/>
      <c r="B270" s="92" t="s">
        <v>442</v>
      </c>
      <c r="C270" s="26">
        <f>C65+C66</f>
        <v>2158800</v>
      </c>
      <c r="D270" s="26">
        <f>C270-E164*3</f>
        <v>1574160</v>
      </c>
      <c r="E270" s="26">
        <f>C270-E164*5</f>
        <v>1184400</v>
      </c>
      <c r="F270" s="26">
        <f>MAX(0,C270-E164*10)</f>
        <v>210000</v>
      </c>
      <c r="G270" s="2"/>
      <c r="H270" s="2"/>
      <c r="I270" s="2"/>
      <c r="J270" s="2"/>
      <c r="K270" s="2"/>
      <c r="L270" s="2"/>
      <c r="M270" s="2"/>
      <c r="N270" s="2"/>
    </row>
    <row r="271">
      <c r="A271" s="7"/>
      <c r="B271" s="96" t="s">
        <v>443</v>
      </c>
      <c r="C271" s="20">
        <f>C68</f>
        <v>991159.176</v>
      </c>
      <c r="D271" s="20">
        <f>C68</f>
        <v>991159.176</v>
      </c>
      <c r="E271" s="20">
        <f>C68</f>
        <v>991159.176</v>
      </c>
      <c r="F271" s="20">
        <f>C68</f>
        <v>991159.176</v>
      </c>
      <c r="G271" s="7"/>
      <c r="H271" s="7"/>
      <c r="I271" s="7"/>
      <c r="J271" s="7"/>
      <c r="K271" s="7"/>
      <c r="L271" s="7"/>
      <c r="M271" s="7"/>
      <c r="N271" s="7"/>
    </row>
    <row r="272">
      <c r="A272" s="2"/>
      <c r="B272" s="152" t="s">
        <v>444</v>
      </c>
      <c r="C272" s="22">
        <f t="shared" ref="C272:F272" si="72">C270+C271</f>
        <v>3149959.176</v>
      </c>
      <c r="D272" s="22">
        <f t="shared" si="72"/>
        <v>2565319.176</v>
      </c>
      <c r="E272" s="22">
        <f t="shared" si="72"/>
        <v>2175559.176</v>
      </c>
      <c r="F272" s="22">
        <f t="shared" si="72"/>
        <v>1201159.176</v>
      </c>
      <c r="G272" s="2"/>
      <c r="H272" s="2"/>
      <c r="I272" s="2"/>
      <c r="J272" s="2"/>
      <c r="K272" s="2"/>
      <c r="L272" s="2"/>
      <c r="M272" s="2"/>
      <c r="N272" s="2"/>
    </row>
    <row r="273">
      <c r="A273" s="7"/>
      <c r="B273" s="13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</row>
    <row r="274">
      <c r="A274" s="2"/>
      <c r="B274" s="152" t="s">
        <v>445</v>
      </c>
      <c r="C274" s="130"/>
      <c r="D274" s="130"/>
      <c r="E274" s="130"/>
      <c r="F274" s="130"/>
      <c r="G274" s="2"/>
      <c r="H274" s="2"/>
      <c r="I274" s="2"/>
      <c r="J274" s="2"/>
      <c r="K274" s="2"/>
      <c r="L274" s="2"/>
      <c r="M274" s="2"/>
      <c r="N274" s="2"/>
    </row>
    <row r="275">
      <c r="A275" s="7"/>
      <c r="B275" s="96" t="s">
        <v>446</v>
      </c>
      <c r="C275" s="20">
        <f>C206</f>
        <v>1922975.506</v>
      </c>
      <c r="D275" s="20">
        <f>F206</f>
        <v>961487.7528</v>
      </c>
      <c r="E275" s="20">
        <f>H206</f>
        <v>320495.9176</v>
      </c>
      <c r="F275" s="20">
        <f>M206</f>
        <v>0</v>
      </c>
      <c r="G275" s="7"/>
      <c r="H275" s="7"/>
      <c r="I275" s="7"/>
      <c r="J275" s="7"/>
      <c r="K275" s="7"/>
      <c r="L275" s="7"/>
      <c r="M275" s="7"/>
      <c r="N275" s="7"/>
    </row>
    <row r="276">
      <c r="A276" s="2"/>
      <c r="B276" s="92" t="s">
        <v>447</v>
      </c>
      <c r="C276" s="26">
        <f t="shared" ref="C276:F276" si="73">C272-C275</f>
        <v>1226983.67</v>
      </c>
      <c r="D276" s="26">
        <f t="shared" si="73"/>
        <v>1603831.423</v>
      </c>
      <c r="E276" s="26">
        <f t="shared" si="73"/>
        <v>1855063.258</v>
      </c>
      <c r="F276" s="26">
        <f t="shared" si="73"/>
        <v>1201159.176</v>
      </c>
      <c r="G276" s="2"/>
      <c r="H276" s="2"/>
      <c r="I276" s="2"/>
      <c r="J276" s="2"/>
      <c r="K276" s="2"/>
      <c r="L276" s="2"/>
      <c r="M276" s="2"/>
      <c r="N276" s="2"/>
    </row>
    <row r="277">
      <c r="A277" s="7"/>
      <c r="B277" s="163" t="s">
        <v>448</v>
      </c>
      <c r="C277" s="34">
        <f t="shared" ref="C277:F277" si="74">C275+C276</f>
        <v>3149959.176</v>
      </c>
      <c r="D277" s="34">
        <f t="shared" si="74"/>
        <v>2565319.176</v>
      </c>
      <c r="E277" s="34">
        <f t="shared" si="74"/>
        <v>2175559.176</v>
      </c>
      <c r="F277" s="34">
        <f t="shared" si="74"/>
        <v>1201159.176</v>
      </c>
      <c r="G277" s="7"/>
      <c r="H277" s="7"/>
      <c r="I277" s="7"/>
      <c r="J277" s="7"/>
      <c r="K277" s="7"/>
      <c r="L277" s="7"/>
      <c r="M277" s="7"/>
      <c r="N277" s="7"/>
    </row>
    <row r="278">
      <c r="A278" s="2"/>
      <c r="B278" s="171" t="s">
        <v>449</v>
      </c>
      <c r="C278" s="172" t="str">
        <f t="shared" ref="C278:F278" si="75">IF(ABS(C272-C277)&lt;1,"OK","ERROR")</f>
        <v>OK</v>
      </c>
      <c r="D278" s="172" t="str">
        <f t="shared" si="75"/>
        <v>OK</v>
      </c>
      <c r="E278" s="172" t="str">
        <f t="shared" si="75"/>
        <v>OK</v>
      </c>
      <c r="F278" s="172" t="str">
        <f t="shared" si="75"/>
        <v>OK</v>
      </c>
      <c r="G278" s="2"/>
      <c r="H278" s="2"/>
      <c r="I278" s="2"/>
      <c r="J278" s="2"/>
      <c r="K278" s="2"/>
      <c r="L278" s="2"/>
      <c r="M278" s="2"/>
      <c r="N278" s="2"/>
    </row>
    <row r="279">
      <c r="A279" s="7"/>
      <c r="B279" s="13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</row>
    <row r="280">
      <c r="A280" s="2"/>
      <c r="B280" s="120" t="s">
        <v>615</v>
      </c>
      <c r="C280" s="4"/>
      <c r="D280" s="4"/>
      <c r="E280" s="4"/>
      <c r="F280" s="5"/>
      <c r="G280" s="183"/>
      <c r="H280" s="183"/>
      <c r="I280" s="183"/>
      <c r="J280" s="183"/>
      <c r="K280" s="183"/>
      <c r="L280" s="183"/>
      <c r="M280" s="183"/>
      <c r="N280" s="183"/>
    </row>
    <row r="281">
      <c r="A281" s="7"/>
      <c r="B281" s="193" t="s">
        <v>453</v>
      </c>
      <c r="C281" s="187" t="s">
        <v>349</v>
      </c>
      <c r="D281" s="187" t="s">
        <v>365</v>
      </c>
      <c r="E281" s="187" t="s">
        <v>350</v>
      </c>
      <c r="F281" s="7"/>
      <c r="G281" s="7"/>
      <c r="H281" s="7"/>
      <c r="I281" s="7"/>
      <c r="J281" s="7"/>
      <c r="K281" s="7"/>
      <c r="L281" s="7"/>
      <c r="M281" s="7"/>
      <c r="N281" s="7"/>
    </row>
    <row r="282">
      <c r="A282" s="2"/>
      <c r="B282" s="92" t="s">
        <v>18</v>
      </c>
      <c r="C282" s="26">
        <f t="array" ref="C282">C217+NPV(C14,D217:M217)</f>
        <v>-4405124.647</v>
      </c>
      <c r="D282" s="26">
        <f t="array" ref="D282">C227+NPV(C14,D227:M227)</f>
        <v>-1982824.762</v>
      </c>
      <c r="E282" s="26">
        <f t="array" ref="E282">C237+NPV(C14,D237:M237)</f>
        <v>7706374.777</v>
      </c>
      <c r="F282" s="2"/>
      <c r="G282" s="2"/>
      <c r="H282" s="2"/>
      <c r="I282" s="2"/>
      <c r="J282" s="2"/>
      <c r="K282" s="2"/>
      <c r="L282" s="2"/>
      <c r="M282" s="2"/>
      <c r="N282" s="2"/>
    </row>
    <row r="283">
      <c r="A283" s="7"/>
      <c r="B283" s="96" t="s">
        <v>19</v>
      </c>
      <c r="C283" s="24">
        <f>IFERROR(IRR(C217:M217,0.2),"-")</f>
        <v>-0.1270065324</v>
      </c>
      <c r="D283" s="24">
        <f>IFERROR(IRR(C227:M227,0.2),"-")</f>
        <v>0.08151614015</v>
      </c>
      <c r="E283" s="24">
        <f>IFERROR(IRR(C237:M237,0.2),"-")</f>
        <v>0.5579030729</v>
      </c>
      <c r="F283" s="7"/>
      <c r="G283" s="7"/>
      <c r="H283" s="7"/>
      <c r="I283" s="7"/>
      <c r="J283" s="7"/>
      <c r="K283" s="7"/>
      <c r="L283" s="7"/>
      <c r="M283" s="7"/>
      <c r="N283" s="7"/>
    </row>
    <row r="284">
      <c r="A284" s="2"/>
      <c r="B284" s="92" t="s">
        <v>20</v>
      </c>
      <c r="C284" s="36">
        <f>IFERROR(IRR(C217:M217,0.2),"-")</f>
        <v>-0.1270065324</v>
      </c>
      <c r="D284" s="36">
        <f>IFERROR(IRR(C227:M227,0.2),"-")</f>
        <v>0.08151614015</v>
      </c>
      <c r="E284" s="36">
        <f>IFERROR(IRR(C237:M237,0.2),"-")</f>
        <v>0.5579030729</v>
      </c>
      <c r="F284" s="2"/>
      <c r="G284" s="2"/>
      <c r="H284" s="2"/>
      <c r="I284" s="2"/>
      <c r="J284" s="2"/>
      <c r="K284" s="2"/>
      <c r="L284" s="2"/>
      <c r="M284" s="2"/>
      <c r="N284" s="2"/>
    </row>
    <row r="285">
      <c r="A285" s="7"/>
      <c r="B285" s="96" t="s">
        <v>21</v>
      </c>
      <c r="C285" s="41">
        <f>IF(D217&gt;0,-C217/(D217/12),999)</f>
        <v>999</v>
      </c>
      <c r="D285" s="41">
        <f>IF(D227&gt;0,-C227/(D227/12),999)</f>
        <v>999</v>
      </c>
      <c r="E285" s="41">
        <f>IF(D237&gt;0,-C237/(D237/12),999)</f>
        <v>38.72539185</v>
      </c>
      <c r="F285" s="7"/>
      <c r="G285" s="7"/>
      <c r="H285" s="7"/>
      <c r="I285" s="7"/>
      <c r="J285" s="7"/>
      <c r="K285" s="7"/>
      <c r="L285" s="7"/>
      <c r="M285" s="7"/>
      <c r="N285" s="7"/>
    </row>
    <row r="286">
      <c r="A286" s="2"/>
      <c r="B286" s="92" t="s">
        <v>22</v>
      </c>
      <c r="C286" s="40">
        <f t="shared" ref="C286:E286" si="76">C285*1.15</f>
        <v>1148.85</v>
      </c>
      <c r="D286" s="40">
        <f t="shared" si="76"/>
        <v>1148.85</v>
      </c>
      <c r="E286" s="40">
        <f t="shared" si="76"/>
        <v>44.53420062</v>
      </c>
      <c r="F286" s="2"/>
      <c r="G286" s="2"/>
      <c r="H286" s="2"/>
      <c r="I286" s="2"/>
      <c r="J286" s="2"/>
      <c r="K286" s="2"/>
      <c r="L286" s="2"/>
      <c r="M286" s="2"/>
      <c r="N286" s="2"/>
    </row>
    <row r="287">
      <c r="A287" s="7"/>
      <c r="B287" s="96" t="s">
        <v>23</v>
      </c>
      <c r="C287" s="45">
        <f>IF(-C217&gt;0,SUM(D217:M217)/-C217,0)</f>
        <v>0.203600038</v>
      </c>
      <c r="D287" s="45">
        <f>IF(-C227&gt;0,SUM(D227:M227)/-C227,0)</f>
        <v>1.685963756</v>
      </c>
      <c r="E287" s="45">
        <f>IF(-C237&gt;0,SUM(D237:M237)/-C237,0)</f>
        <v>7.615418626</v>
      </c>
      <c r="F287" s="7"/>
      <c r="G287" s="7"/>
      <c r="H287" s="7"/>
      <c r="I287" s="7"/>
      <c r="J287" s="7"/>
      <c r="K287" s="7"/>
      <c r="L287" s="7"/>
      <c r="M287" s="7"/>
      <c r="N287" s="7"/>
    </row>
    <row r="288">
      <c r="A288" s="2"/>
      <c r="B288" s="92" t="s">
        <v>16</v>
      </c>
      <c r="C288" s="26">
        <f t="shared" ref="C288:C289" si="77">E112</f>
        <v>398476.896</v>
      </c>
      <c r="D288" s="26">
        <f t="shared" ref="D288:D289" si="78">E130</f>
        <v>1070928.096</v>
      </c>
      <c r="E288" s="26">
        <f t="shared" ref="E288:E289" si="79">E148</f>
        <v>3760732.896</v>
      </c>
      <c r="F288" s="2"/>
      <c r="G288" s="2"/>
      <c r="H288" s="2"/>
      <c r="I288" s="2"/>
      <c r="J288" s="2"/>
      <c r="K288" s="2"/>
      <c r="L288" s="2"/>
      <c r="M288" s="2"/>
      <c r="N288" s="2"/>
    </row>
    <row r="289">
      <c r="A289" s="7"/>
      <c r="B289" s="96" t="s">
        <v>17</v>
      </c>
      <c r="C289" s="24">
        <f t="shared" si="77"/>
        <v>0.06723131695</v>
      </c>
      <c r="D289" s="24">
        <f t="shared" si="78"/>
        <v>0.1622764671</v>
      </c>
      <c r="E289" s="24">
        <f t="shared" si="79"/>
        <v>0.4048496113</v>
      </c>
      <c r="F289" s="7"/>
      <c r="G289" s="7"/>
      <c r="H289" s="7"/>
      <c r="I289" s="7"/>
      <c r="J289" s="7"/>
      <c r="K289" s="7"/>
      <c r="L289" s="7"/>
      <c r="M289" s="7"/>
      <c r="N289" s="7"/>
    </row>
    <row r="290">
      <c r="A290" s="2"/>
      <c r="B290" s="92" t="s">
        <v>25</v>
      </c>
      <c r="C290" s="42">
        <f>IF(D177&gt;0,C112/D177,"-")</f>
        <v>0.3434567636</v>
      </c>
      <c r="D290" s="42">
        <f>IF(D191&gt;0,C130/D191,"-")</f>
        <v>0.9230585301</v>
      </c>
      <c r="E290" s="42">
        <f>IF(D205&gt;0,C148/D205,"-")</f>
        <v>3.241465596</v>
      </c>
      <c r="F290" s="2"/>
      <c r="G290" s="2"/>
      <c r="H290" s="2"/>
      <c r="I290" s="2"/>
      <c r="J290" s="2"/>
      <c r="K290" s="2"/>
      <c r="L290" s="2"/>
      <c r="M290" s="2"/>
      <c r="N290" s="2"/>
    </row>
    <row r="291">
      <c r="A291" s="7"/>
      <c r="B291" s="96" t="s">
        <v>26</v>
      </c>
      <c r="C291" s="129">
        <f>IF(D102&gt;0,C84/(D102/(C34*1000))*1/C10,0)</f>
        <v>13506.49053</v>
      </c>
      <c r="D291" s="129">
        <f>IF(E102&gt;0,C84/(E102/(C34*1000))*1/C10,0)</f>
        <v>12130.23676</v>
      </c>
      <c r="E291" s="129">
        <f>IF(F102&gt;0,C84/(F102/(C34*1000))*1/C10,0)</f>
        <v>8617.777628</v>
      </c>
      <c r="F291" s="7"/>
      <c r="G291" s="7"/>
      <c r="H291" s="7"/>
      <c r="I291" s="7"/>
      <c r="J291" s="7"/>
      <c r="K291" s="7"/>
      <c r="L291" s="7"/>
      <c r="M291" s="7"/>
      <c r="N291" s="7"/>
    </row>
    <row r="292">
      <c r="A292" s="2"/>
      <c r="B292" s="92" t="s">
        <v>454</v>
      </c>
      <c r="C292" s="42">
        <f>IF(C84&gt;0,D102/C84,0)</f>
        <v>1.072077159</v>
      </c>
      <c r="D292" s="42">
        <f>IF(C84&gt;0,E102/C84,0)</f>
        <v>1.193711243</v>
      </c>
      <c r="E292" s="42">
        <f>IF(C84&gt;0,F102/C84,0)</f>
        <v>1.680247579</v>
      </c>
      <c r="F292" s="2"/>
      <c r="G292" s="2"/>
      <c r="H292" s="2"/>
      <c r="I292" s="2"/>
      <c r="J292" s="2"/>
      <c r="K292" s="2"/>
      <c r="L292" s="2"/>
      <c r="M292" s="2"/>
      <c r="N292" s="2"/>
    </row>
    <row r="293">
      <c r="A293" s="7"/>
      <c r="B293" s="96" t="s">
        <v>455</v>
      </c>
      <c r="C293" s="20">
        <f>L112*C28</f>
        <v>1992384.48</v>
      </c>
      <c r="D293" s="20">
        <f>L130*C28</f>
        <v>5354640.48</v>
      </c>
      <c r="E293" s="20">
        <f>L148*C28</f>
        <v>18803664.48</v>
      </c>
      <c r="F293" s="7"/>
      <c r="G293" s="7"/>
      <c r="H293" s="7"/>
      <c r="I293" s="7"/>
      <c r="J293" s="7"/>
      <c r="K293" s="7"/>
      <c r="L293" s="7"/>
      <c r="M293" s="7"/>
      <c r="N293" s="7"/>
    </row>
    <row r="294">
      <c r="A294" s="2"/>
      <c r="B294" s="92" t="s">
        <v>14</v>
      </c>
      <c r="C294" s="26">
        <f>C110/12</f>
        <v>246956.4</v>
      </c>
      <c r="D294" s="26">
        <f>C128/12</f>
        <v>274975.2</v>
      </c>
      <c r="E294" s="26">
        <f>C146/12</f>
        <v>387050.4</v>
      </c>
      <c r="F294" s="2"/>
      <c r="G294" s="2"/>
      <c r="H294" s="2"/>
      <c r="I294" s="2"/>
      <c r="J294" s="2"/>
      <c r="K294" s="2"/>
      <c r="L294" s="2"/>
      <c r="M294" s="2"/>
      <c r="N294" s="2"/>
    </row>
    <row r="295">
      <c r="A295" s="7"/>
      <c r="B295" s="96" t="s">
        <v>15</v>
      </c>
      <c r="C295" s="20">
        <f>E110/12</f>
        <v>493912.8</v>
      </c>
      <c r="D295" s="20">
        <f>E128/12</f>
        <v>549950.4</v>
      </c>
      <c r="E295" s="20">
        <f>E146/12</f>
        <v>774100.8</v>
      </c>
      <c r="F295" s="7"/>
      <c r="G295" s="7"/>
      <c r="H295" s="7"/>
      <c r="I295" s="7"/>
      <c r="J295" s="7"/>
      <c r="K295" s="7"/>
      <c r="L295" s="7"/>
      <c r="M295" s="7"/>
      <c r="N295" s="7"/>
    </row>
    <row r="296">
      <c r="A296" s="2"/>
      <c r="B296" s="92" t="s">
        <v>12</v>
      </c>
      <c r="C296" s="26">
        <f>C69*(1-C29)</f>
        <v>1281983.67</v>
      </c>
      <c r="D296" s="26">
        <f>C69*(1-C29)</f>
        <v>1281983.67</v>
      </c>
      <c r="E296" s="26">
        <f>C69*(1-C29)</f>
        <v>1281983.67</v>
      </c>
      <c r="F296" s="2"/>
      <c r="G296" s="2"/>
      <c r="H296" s="2"/>
      <c r="I296" s="2"/>
      <c r="J296" s="2"/>
      <c r="K296" s="2"/>
      <c r="L296" s="2"/>
      <c r="M296" s="2"/>
      <c r="N296" s="2"/>
    </row>
    <row r="297">
      <c r="A297" s="7"/>
      <c r="B297" s="13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</row>
    <row r="298">
      <c r="A298" s="2"/>
      <c r="B298" s="120" t="s">
        <v>616</v>
      </c>
      <c r="C298" s="4"/>
      <c r="D298" s="4"/>
      <c r="E298" s="4"/>
      <c r="F298" s="4"/>
      <c r="G298" s="4"/>
      <c r="H298" s="5"/>
      <c r="I298" s="183"/>
      <c r="J298" s="183"/>
      <c r="K298" s="183"/>
      <c r="L298" s="183"/>
      <c r="M298" s="183"/>
      <c r="N298" s="183"/>
    </row>
    <row r="299">
      <c r="A299" s="7"/>
      <c r="B299" s="113" t="s">
        <v>457</v>
      </c>
      <c r="C299" s="4"/>
      <c r="D299" s="4"/>
      <c r="E299" s="4"/>
      <c r="F299" s="4"/>
      <c r="G299" s="4"/>
      <c r="H299" s="5"/>
      <c r="I299" s="7"/>
      <c r="J299" s="7"/>
      <c r="K299" s="7"/>
      <c r="L299" s="7"/>
      <c r="M299" s="7"/>
      <c r="N299" s="7"/>
    </row>
    <row r="300">
      <c r="A300" s="2"/>
      <c r="B300" s="197" t="s">
        <v>458</v>
      </c>
      <c r="C300" s="198" t="s">
        <v>349</v>
      </c>
      <c r="D300" s="198" t="s">
        <v>365</v>
      </c>
      <c r="E300" s="198" t="s">
        <v>350</v>
      </c>
      <c r="F300" s="2"/>
      <c r="G300" s="2"/>
      <c r="H300" s="2"/>
      <c r="I300" s="2"/>
      <c r="J300" s="2"/>
      <c r="K300" s="2"/>
      <c r="L300" s="2"/>
      <c r="M300" s="2"/>
      <c r="N300" s="2"/>
    </row>
    <row r="301">
      <c r="A301" s="7"/>
      <c r="B301" s="96" t="s">
        <v>459</v>
      </c>
      <c r="C301" s="20">
        <f>D102*(1+-0.2)-C84</f>
        <v>-65576.152</v>
      </c>
      <c r="D301" s="20">
        <f>E102*(1+-0.2)-C84</f>
        <v>-20746.072</v>
      </c>
      <c r="E301" s="20">
        <f>F102*(1+-0.2)-C84</f>
        <v>158574.248</v>
      </c>
      <c r="F301" s="7"/>
      <c r="G301" s="7"/>
      <c r="H301" s="7"/>
      <c r="I301" s="7"/>
      <c r="J301" s="7"/>
      <c r="K301" s="7"/>
      <c r="L301" s="7"/>
      <c r="M301" s="7"/>
      <c r="N301" s="7"/>
    </row>
    <row r="302">
      <c r="A302" s="2"/>
      <c r="B302" s="92" t="s">
        <v>460</v>
      </c>
      <c r="C302" s="26">
        <f>D102*(1+-0.1)-C84</f>
        <v>-16184.872</v>
      </c>
      <c r="D302" s="26">
        <f>E102*(1+-0.1)-C84</f>
        <v>34248.968</v>
      </c>
      <c r="E302" s="26">
        <f>F102*(1+-0.1)-C84</f>
        <v>235984.328</v>
      </c>
      <c r="F302" s="2"/>
      <c r="G302" s="2"/>
      <c r="H302" s="2"/>
      <c r="I302" s="2"/>
      <c r="J302" s="2"/>
      <c r="K302" s="2"/>
      <c r="L302" s="2"/>
      <c r="M302" s="2"/>
      <c r="N302" s="2"/>
    </row>
    <row r="303">
      <c r="A303" s="7"/>
      <c r="B303" s="96" t="s">
        <v>461</v>
      </c>
      <c r="C303" s="20">
        <f>D102*(1+0)-C84</f>
        <v>33206.408</v>
      </c>
      <c r="D303" s="20">
        <f>E102*(1+0)-C84</f>
        <v>89244.008</v>
      </c>
      <c r="E303" s="20">
        <f>F102*(1+0)-C84</f>
        <v>313394.408</v>
      </c>
      <c r="F303" s="7"/>
      <c r="G303" s="7"/>
      <c r="H303" s="7"/>
      <c r="I303" s="7"/>
      <c r="J303" s="7"/>
      <c r="K303" s="7"/>
      <c r="L303" s="7"/>
      <c r="M303" s="7"/>
      <c r="N303" s="7"/>
    </row>
    <row r="304">
      <c r="A304" s="2"/>
      <c r="B304" s="92" t="s">
        <v>462</v>
      </c>
      <c r="C304" s="26">
        <f>D102*(1+0.1)-C84</f>
        <v>82597.688</v>
      </c>
      <c r="D304" s="26">
        <f>E102*(1+0.1)-C84</f>
        <v>144239.048</v>
      </c>
      <c r="E304" s="26">
        <f>F102*(1+0.1)-C84</f>
        <v>390804.488</v>
      </c>
      <c r="F304" s="2"/>
      <c r="G304" s="2"/>
      <c r="H304" s="2"/>
      <c r="I304" s="2"/>
      <c r="J304" s="2"/>
      <c r="K304" s="2"/>
      <c r="L304" s="2"/>
      <c r="M304" s="2"/>
      <c r="N304" s="2"/>
    </row>
    <row r="305">
      <c r="A305" s="7"/>
      <c r="B305" s="19" t="s">
        <v>463</v>
      </c>
      <c r="C305" s="20">
        <f>D102*(1+0.2)-C84</f>
        <v>131988.968</v>
      </c>
      <c r="D305" s="20">
        <f>E102*(1+0.2)-C84</f>
        <v>199234.088</v>
      </c>
      <c r="E305" s="20">
        <f>F102*(1+0.2)-C84</f>
        <v>468214.568</v>
      </c>
      <c r="F305" s="7"/>
      <c r="G305" s="7"/>
      <c r="H305" s="7"/>
      <c r="I305" s="7"/>
      <c r="J305" s="7"/>
      <c r="K305" s="7"/>
      <c r="L305" s="7"/>
      <c r="M305" s="7"/>
      <c r="N305" s="7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</row>
    <row r="307">
      <c r="A307" s="7"/>
      <c r="B307" s="201" t="s">
        <v>464</v>
      </c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</row>
    <row r="308">
      <c r="A308" s="2"/>
      <c r="B308" s="25" t="s">
        <v>465</v>
      </c>
      <c r="C308" s="26">
        <f>D102*0.5-C84</f>
        <v>-213749.992</v>
      </c>
      <c r="D308" s="26">
        <f>E102*0.5-C84</f>
        <v>-185731.192</v>
      </c>
      <c r="E308" s="26">
        <f>F102*0.5-C84</f>
        <v>-73655.992</v>
      </c>
      <c r="F308" s="2"/>
      <c r="G308" s="2"/>
      <c r="H308" s="2"/>
      <c r="I308" s="2"/>
      <c r="J308" s="2"/>
      <c r="K308" s="2"/>
      <c r="L308" s="2"/>
      <c r="M308" s="2"/>
      <c r="N308" s="2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</row>
    <row r="310">
      <c r="A310" s="2"/>
      <c r="B310" s="202" t="s">
        <v>617</v>
      </c>
      <c r="K310" s="2"/>
      <c r="L310" s="2"/>
      <c r="M310" s="2"/>
      <c r="N310" s="2"/>
    </row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29">
    <mergeCell ref="B2:F2"/>
    <mergeCell ref="B33:F33"/>
    <mergeCell ref="B53:N53"/>
    <mergeCell ref="B63:F63"/>
    <mergeCell ref="B71:F71"/>
    <mergeCell ref="B85:H85"/>
    <mergeCell ref="B87:H87"/>
    <mergeCell ref="B103:H103"/>
    <mergeCell ref="B105:N105"/>
    <mergeCell ref="B106:N106"/>
    <mergeCell ref="B124:N124"/>
    <mergeCell ref="B142:N142"/>
    <mergeCell ref="B160:H160"/>
    <mergeCell ref="B166:N166"/>
    <mergeCell ref="B240:H240"/>
    <mergeCell ref="B241:H241"/>
    <mergeCell ref="B254:H254"/>
    <mergeCell ref="B267:H267"/>
    <mergeCell ref="B280:F280"/>
    <mergeCell ref="B298:H298"/>
    <mergeCell ref="B299:H299"/>
    <mergeCell ref="B310:J310"/>
    <mergeCell ref="B167:N167"/>
    <mergeCell ref="B181:N181"/>
    <mergeCell ref="B195:N195"/>
    <mergeCell ref="B209:N209"/>
    <mergeCell ref="B210:N210"/>
    <mergeCell ref="B220:N220"/>
    <mergeCell ref="B230:N230"/>
  </mergeCells>
  <conditionalFormatting sqref="C301:E305">
    <cfRule type="cellIs" dxfId="6" priority="1" operator="greaterThan">
      <formula>0</formula>
    </cfRule>
  </conditionalFormatting>
  <conditionalFormatting sqref="C301:E305">
    <cfRule type="cellIs" dxfId="7" priority="2" operator="lessThan">
      <formula>0</formula>
    </cfRule>
  </conditionalFormatting>
  <conditionalFormatting sqref="C301:E305">
    <cfRule type="cellIs" dxfId="8" priority="3" operator="equal">
      <formula>0</formula>
    </cfRule>
  </conditionalFormatting>
  <printOptions/>
  <pageMargins bottom="1.0" footer="0.0" header="0.0" left="0.75" right="0.75" top="1.0"/>
  <pageSetup fitToHeight="0" orientation="landscape"/>
  <drawing r:id="rId4"/>
  <legacyDrawing r:id="rId5"/>
</worksheet>
</file>