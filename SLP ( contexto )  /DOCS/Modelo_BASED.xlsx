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o" sheetId="1" r:id="rId5"/>
  </sheets>
  <definedNames>
    <definedName name="RSU_total_dia">Modelo!$D$43</definedName>
    <definedName name="Captura_inicial">Modelo!$D$20</definedName>
    <definedName name="MERMA_general">Modelo!$D$21</definedName>
    <definedName name="Ingreso_anual_total">Modelo!$L$69</definedName>
  </definedNames>
  <calcPr/>
</workbook>
</file>

<file path=xl/sharedStrings.xml><?xml version="1.0" encoding="utf-8"?>
<sst xmlns="http://schemas.openxmlformats.org/spreadsheetml/2006/main" count="111" uniqueCount="99">
  <si>
    <t>SUPUESTOS – Datos demográficos y de vivienda</t>
  </si>
  <si>
    <t>RESUMEN EJECUTIVO – PLENA COBERTURA</t>
  </si>
  <si>
    <t>Habitantes ZM SLP (2020)</t>
  </si>
  <si>
    <t>Promedio ocupantes por vivienda particular</t>
  </si>
  <si>
    <t>RSU vivienda particular (t/día)</t>
  </si>
  <si>
    <t>Viviendas particulares objetivo (vertical + condominio)</t>
  </si>
  <si>
    <t>Ingreso potencial diario (MXN)</t>
  </si>
  <si>
    <t>Generación per cápita RSU (kg/hab/día)</t>
  </si>
  <si>
    <t>Ingreso potencial anual (MXN)</t>
  </si>
  <si>
    <t>Viviendas estimadas ZM (habitantes / ocupantes)</t>
  </si>
  <si>
    <t>t CO2e/día evitadas</t>
  </si>
  <si>
    <t>% viviendas objetivo sobre viviendas ZM</t>
  </si>
  <si>
    <t>t CO2e/año evitadas</t>
  </si>
  <si>
    <t>Parámetros de composición de RSU (supuestos del modelo)</t>
  </si>
  <si>
    <t>Materia orgánica</t>
  </si>
  <si>
    <t>Papel y cartón</t>
  </si>
  <si>
    <t>Plásticos (incluye PET)</t>
  </si>
  <si>
    <t>Vidrio</t>
  </si>
  <si>
    <t>Metales (principalmente Al)</t>
  </si>
  <si>
    <t>Otros / no valorizables</t>
  </si>
  <si>
    <t xml:space="preserve">Parámetros de captura </t>
  </si>
  <si>
    <t xml:space="preserve">% captura inicial reciclables del monto total </t>
  </si>
  <si>
    <t>MERMA general</t>
  </si>
  <si>
    <t>% de plásticos capturables que son PET</t>
  </si>
  <si>
    <t>% de aluminio dentro de metales (supuesto)</t>
  </si>
  <si>
    <t>% orgánico desviado a biodigestor</t>
  </si>
  <si>
    <t>% orgánico desviado a composta</t>
  </si>
  <si>
    <t>Precios</t>
  </si>
  <si>
    <t>Precio PET (MXN/kg)</t>
  </si>
  <si>
    <t>Precio papel/cartón (MXN/kg)</t>
  </si>
  <si>
    <t>Precio vidrio (MXN/kg)</t>
  </si>
  <si>
    <t>Precio aluminio (MXN/kg)</t>
  </si>
  <si>
    <t>Precio HDPE (MXN/kg)</t>
  </si>
  <si>
    <t>Precio orgánicos/composta (MXN/kg)</t>
  </si>
  <si>
    <t>Parámetros de impacto ambiental</t>
  </si>
  <si>
    <t>Factor CH4 relleno (m3/ton orgánicos)</t>
  </si>
  <si>
    <t>Densidad CH4 (t/m3)</t>
  </si>
  <si>
    <t>GWP CH4 (t CO2e/t CH4)</t>
  </si>
  <si>
    <t>% desvío orgánicos (escenario programa)</t>
  </si>
  <si>
    <t>GENERACIÓN DE RSU EN VIVIENDA PARTICULAR – ZM SLP</t>
  </si>
  <si>
    <t>Población objetivo vivienda particular</t>
  </si>
  <si>
    <t>RSU totales kg/día (vivienda particular)</t>
  </si>
  <si>
    <t>RSU totales t/día (vivienda particular)</t>
  </si>
  <si>
    <t xml:space="preserve">Vivienda </t>
  </si>
  <si>
    <t>Fracción</t>
  </si>
  <si>
    <t>% del flujo</t>
  </si>
  <si>
    <t>Toneladas/día</t>
  </si>
  <si>
    <t>TOTAL</t>
  </si>
  <si>
    <t>VALORIZACIÓN ECONÓMICA – PLENA COBERTURA-SIN MATERIA ORGANICA</t>
  </si>
  <si>
    <t>Material</t>
  </si>
  <si>
    <t>Ton/día totales</t>
  </si>
  <si>
    <t>% captura</t>
  </si>
  <si>
    <t xml:space="preserve">Ton/día capturables ( 10% merma) </t>
  </si>
  <si>
    <t>kg/día capturables con merma</t>
  </si>
  <si>
    <t>kg/mes capturables *25</t>
  </si>
  <si>
    <t>ton mes 25 dias</t>
  </si>
  <si>
    <t>Precio DE VENTA CENTRO DE ACOPIO (MXN/kg)</t>
  </si>
  <si>
    <t>Ingreso diario (MXN)</t>
  </si>
  <si>
    <t>Ingreso anual (MXN)</t>
  </si>
  <si>
    <t>Plásticos totales</t>
  </si>
  <si>
    <t>Metales</t>
  </si>
  <si>
    <t>PET</t>
  </si>
  <si>
    <t>HDPE y OTROS representan el 50% de los otros polimeros</t>
  </si>
  <si>
    <t>Papel/cartón</t>
  </si>
  <si>
    <t>Aluminio</t>
  </si>
  <si>
    <t>IMPACTO AMBIENTAL – METANO (CH4) Y CO2e</t>
  </si>
  <si>
    <t>DISTRIBUCIÓN DE MATERIA ORGÁNICA</t>
  </si>
  <si>
    <t>Ton/día orgánicos (Tabla 1)</t>
  </si>
  <si>
    <t>% orgánico a biodigestor</t>
  </si>
  <si>
    <t>% orgánico a composta</t>
  </si>
  <si>
    <t>% orgánico que sigue a relleno</t>
  </si>
  <si>
    <t>Ton/día orgánicos a biodigestor</t>
  </si>
  <si>
    <t>Ton/día orgánicos a composta</t>
  </si>
  <si>
    <t>Ton/día orgánicos a relleno</t>
  </si>
  <si>
    <t>EMISIONES SIN PROGRAMA (100% a relleno)</t>
  </si>
  <si>
    <t>m³ CH4/día (sin programa)</t>
  </si>
  <si>
    <t>t CH4/día (sin programa)</t>
  </si>
  <si>
    <t>t CO2e/día (sin programa)</t>
  </si>
  <si>
    <t>EMISIONES CON PROGRAMA (biodigestor + composta)</t>
  </si>
  <si>
    <t xml:space="preserve">  Relleno sanitario</t>
  </si>
  <si>
    <t xml:space="preserve">  m³ CH4/día (relleno, con programa)</t>
  </si>
  <si>
    <t xml:space="preserve">  t CH4/día (relleno, con programa)</t>
  </si>
  <si>
    <t xml:space="preserve">  t CO2e/día (relleno, con programa)</t>
  </si>
  <si>
    <t xml:space="preserve">  Biodigestor (biogás capturado)</t>
  </si>
  <si>
    <t xml:space="preserve">  t CO2e/día (biodigestor) ≈ 0</t>
  </si>
  <si>
    <t xml:space="preserve">  Composta</t>
  </si>
  <si>
    <t xml:space="preserve">  t CO2e/día (composta)</t>
  </si>
  <si>
    <t>Total t CO2e/día (con programa)</t>
  </si>
  <si>
    <t>EMISIONES EVITADAS</t>
  </si>
  <si>
    <t>Ton/día orgánicos desviados de relleno</t>
  </si>
  <si>
    <t>TABLA MAESTRA DE COBERTURA POR AÑO</t>
  </si>
  <si>
    <t>Año</t>
  </si>
  <si>
    <t>Cobertura %</t>
  </si>
  <si>
    <t>RSU gestionados (t/día)</t>
  </si>
  <si>
    <t>RSU gestionados (t/mes)</t>
  </si>
  <si>
    <t>RSU gestionados (t/año)</t>
  </si>
  <si>
    <t>Fase 2</t>
  </si>
  <si>
    <t>Fase 3,4</t>
  </si>
  <si>
    <t>Fase 5,6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</si>
</sst>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&quot;$ &quot;#,##0"/>
    <numFmt numFmtId="166" formatCode="#,##0.000"/>
  </numFmts>
  <fonts count="11">
    <font>
      <sz val="11.0"/>
      <color theme="1"/>
      <name val="Calibri"/>
      <scheme val="minor"/>
    </font>
    <font>
      <b/>
      <sz val="14.0"/>
      <color rgb="FFFFFFFF"/>
      <name val="Calibri"/>
    </font>
    <font>
      <b/>
      <sz val="21.0"/>
      <color rgb="FFFFFFFF"/>
      <name val="Calibri"/>
    </font>
    <font/>
    <font>
      <sz val="11.0"/>
      <color theme="1"/>
      <name val="Calibri"/>
    </font>
    <font>
      <b/>
      <sz val="11.0"/>
      <color rgb="FF1F4E79"/>
      <name val="Calibri"/>
    </font>
    <font>
      <b/>
      <sz val="11.0"/>
      <color theme="1"/>
      <name val="Calibri"/>
    </font>
    <font>
      <b/>
      <sz val="14.0"/>
      <color rgb="FF1F4E79"/>
      <name val="Calibri"/>
    </font>
    <font>
      <b/>
      <sz val="13.0"/>
      <color rgb="FF1F4E79"/>
      <name val="Calibri"/>
    </font>
    <font>
      <sz val="21.0"/>
      <color theme="1"/>
      <name val="Calibri"/>
    </font>
    <font>
      <color theme="1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CCF3F0"/>
        <bgColor rgb="FFCCF3F0"/>
      </patternFill>
    </fill>
    <fill>
      <patternFill patternType="solid">
        <fgColor rgb="FFFCE5CD"/>
        <bgColor rgb="FFFCE5CD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D6E4F0"/>
        <bgColor rgb="FFD6E4F0"/>
      </patternFill>
    </fill>
    <fill>
      <patternFill patternType="solid">
        <fgColor rgb="FFEDF2F9"/>
        <bgColor rgb="FFEDF2F9"/>
      </patternFill>
    </fill>
  </fills>
  <borders count="8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2" fillId="2" fontId="2" numFmtId="0" xfId="0" applyAlignment="1" applyBorder="1" applyFont="1">
      <alignment horizontal="center" shrinkToFit="0" vertical="center" wrapText="0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horizontal="center" shrinkToFit="0" vertical="center" wrapText="0"/>
    </xf>
    <xf borderId="2" fillId="2" fontId="1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0"/>
    </xf>
    <xf borderId="5" fillId="3" fontId="4" numFmtId="0" xfId="0" applyAlignment="1" applyBorder="1" applyFill="1" applyFont="1">
      <alignment horizontal="center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5" fillId="4" fontId="6" numFmtId="0" xfId="0" applyAlignment="1" applyBorder="1" applyFill="1" applyFont="1">
      <alignment horizontal="center" shrinkToFit="0" vertical="center" wrapText="0"/>
    </xf>
    <xf borderId="5" fillId="4" fontId="6" numFmtId="3" xfId="0" applyAlignment="1" applyBorder="1" applyFont="1" applyNumberFormat="1">
      <alignment horizontal="center" shrinkToFit="0" vertical="center" wrapText="0"/>
    </xf>
    <xf borderId="5" fillId="0" fontId="4" numFmtId="4" xfId="0" applyAlignment="1" applyBorder="1" applyFont="1" applyNumberFormat="1">
      <alignment horizontal="center" shrinkToFit="0" vertical="center" wrapText="0"/>
    </xf>
    <xf borderId="5" fillId="0" fontId="4" numFmtId="164" xfId="0" applyAlignment="1" applyBorder="1" applyFont="1" applyNumberFormat="1">
      <alignment horizontal="center" shrinkToFit="0" vertical="center" wrapText="0"/>
    </xf>
    <xf borderId="2" fillId="5" fontId="7" numFmtId="0" xfId="0" applyAlignment="1" applyBorder="1" applyFill="1" applyFont="1">
      <alignment horizontal="center" shrinkToFit="0" vertical="center" wrapText="0"/>
    </xf>
    <xf borderId="5" fillId="6" fontId="6" numFmtId="0" xfId="0" applyAlignment="1" applyBorder="1" applyFill="1" applyFont="1">
      <alignment horizontal="center" shrinkToFit="0" vertical="center" wrapText="0"/>
    </xf>
    <xf borderId="5" fillId="0" fontId="4" numFmtId="3" xfId="0" applyAlignment="1" applyBorder="1" applyFont="1" applyNumberFormat="1">
      <alignment horizontal="center" readingOrder="0" shrinkToFit="0" vertical="center" wrapText="0"/>
    </xf>
    <xf borderId="5" fillId="0" fontId="4" numFmtId="164" xfId="0" applyAlignment="1" applyBorder="1" applyFont="1" applyNumberFormat="1">
      <alignment horizontal="center" readingOrder="0" shrinkToFit="0" vertical="center" wrapText="0"/>
    </xf>
    <xf borderId="5" fillId="0" fontId="4" numFmtId="4" xfId="0" applyAlignment="1" applyBorder="1" applyFont="1" applyNumberFormat="1">
      <alignment horizontal="center" readingOrder="0" shrinkToFit="0" vertical="center" wrapText="0"/>
    </xf>
    <xf borderId="5" fillId="0" fontId="4" numFmtId="165" xfId="0" applyAlignment="1" applyBorder="1" applyFont="1" applyNumberFormat="1">
      <alignment horizontal="center" readingOrder="0" shrinkToFit="0" vertical="center" wrapText="0"/>
    </xf>
    <xf borderId="0" fillId="0" fontId="4" numFmtId="10" xfId="0" applyAlignment="1" applyFont="1" applyNumberFormat="1">
      <alignment horizontal="center" readingOrder="0" shrinkToFit="0" vertical="center" wrapText="0"/>
    </xf>
    <xf borderId="2" fillId="5" fontId="8" numFmtId="0" xfId="0" applyAlignment="1" applyBorder="1" applyFont="1">
      <alignment horizontal="center" shrinkToFit="0" vertical="center" wrapText="0"/>
    </xf>
    <xf borderId="5" fillId="0" fontId="4" numFmtId="10" xfId="0" applyAlignment="1" applyBorder="1" applyFont="1" applyNumberFormat="1">
      <alignment horizontal="center" shrinkToFit="0" vertical="center" wrapText="0"/>
    </xf>
    <xf borderId="5" fillId="0" fontId="4" numFmtId="9" xfId="0" applyAlignment="1" applyBorder="1" applyFont="1" applyNumberFormat="1">
      <alignment horizontal="center" shrinkToFit="0" vertical="center" wrapText="0"/>
    </xf>
    <xf borderId="1" fillId="3" fontId="4" numFmtId="10" xfId="0" applyAlignment="1" applyBorder="1" applyFont="1" applyNumberFormat="1">
      <alignment horizontal="center" readingOrder="0" shrinkToFit="0" vertical="center" wrapText="0"/>
    </xf>
    <xf borderId="1" fillId="3" fontId="4" numFmtId="164" xfId="0" applyAlignment="1" applyBorder="1" applyFont="1" applyNumberFormat="1">
      <alignment horizontal="center" readingOrder="0" shrinkToFit="0" vertical="center" wrapText="0"/>
    </xf>
    <xf borderId="5" fillId="3" fontId="4" numFmtId="0" xfId="0" applyAlignment="1" applyBorder="1" applyFont="1">
      <alignment horizontal="center" readingOrder="0" shrinkToFit="0" vertical="center" wrapText="0"/>
    </xf>
    <xf borderId="5" fillId="0" fontId="4" numFmtId="3" xfId="0" applyAlignment="1" applyBorder="1" applyFont="1" applyNumberFormat="1">
      <alignment horizontal="center" shrinkToFit="0" vertical="center" wrapText="0"/>
    </xf>
    <xf borderId="1" fillId="2" fontId="2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horizontal="center" shrinkToFit="0" vertical="center" wrapText="0"/>
    </xf>
    <xf borderId="5" fillId="7" fontId="4" numFmtId="0" xfId="0" applyAlignment="1" applyBorder="1" applyFill="1" applyFont="1">
      <alignment horizontal="center" shrinkToFit="0" vertical="center" wrapText="0"/>
    </xf>
    <xf borderId="1" fillId="3" fontId="4" numFmtId="0" xfId="0" applyAlignment="1" applyBorder="1" applyFont="1">
      <alignment horizontal="center" shrinkToFit="0" vertical="center" wrapText="0"/>
    </xf>
    <xf borderId="5" fillId="3" fontId="4" numFmtId="4" xfId="0" applyAlignment="1" applyBorder="1" applyFont="1" applyNumberFormat="1">
      <alignment horizontal="center" shrinkToFit="0" vertical="center" wrapText="0"/>
    </xf>
    <xf borderId="2" fillId="2" fontId="2" numFmtId="0" xfId="0" applyAlignment="1" applyBorder="1" applyFont="1">
      <alignment horizontal="center" readingOrder="0" shrinkToFit="0" vertical="center" wrapText="0"/>
    </xf>
    <xf borderId="1" fillId="6" fontId="6" numFmtId="0" xfId="0" applyAlignment="1" applyBorder="1" applyFont="1">
      <alignment horizontal="center" shrinkToFit="0" vertical="center" wrapText="0"/>
    </xf>
    <xf borderId="5" fillId="6" fontId="6" numFmtId="0" xfId="0" applyAlignment="1" applyBorder="1" applyFont="1">
      <alignment horizontal="center" readingOrder="0" shrinkToFit="0" vertical="center" wrapText="0"/>
    </xf>
    <xf borderId="0" fillId="8" fontId="10" numFmtId="0" xfId="0" applyAlignment="1" applyFill="1" applyFont="1">
      <alignment readingOrder="0"/>
    </xf>
    <xf borderId="5" fillId="6" fontId="6" numFmtId="0" xfId="0" applyAlignment="1" applyBorder="1" applyFont="1">
      <alignment horizontal="center" readingOrder="0" shrinkToFit="0" vertical="center" wrapText="1"/>
    </xf>
    <xf borderId="0" fillId="9" fontId="4" numFmtId="0" xfId="0" applyAlignment="1" applyFill="1" applyFont="1">
      <alignment horizontal="center" shrinkToFit="0" vertical="center" wrapText="0"/>
    </xf>
    <xf borderId="5" fillId="9" fontId="4" numFmtId="4" xfId="0" applyAlignment="1" applyBorder="1" applyFont="1" applyNumberFormat="1">
      <alignment horizontal="center" shrinkToFit="0" vertical="center" wrapText="0"/>
    </xf>
    <xf borderId="5" fillId="9" fontId="4" numFmtId="164" xfId="0" applyAlignment="1" applyBorder="1" applyFont="1" applyNumberFormat="1">
      <alignment horizontal="center" shrinkToFit="0" vertical="center" wrapText="0"/>
    </xf>
    <xf borderId="0" fillId="0" fontId="10" numFmtId="0" xfId="0" applyFont="1"/>
    <xf borderId="6" fillId="0" fontId="10" numFmtId="0" xfId="0" applyBorder="1" applyFont="1"/>
    <xf borderId="6" fillId="9" fontId="4" numFmtId="0" xfId="0" applyAlignment="1" applyBorder="1" applyFont="1">
      <alignment horizontal="center" shrinkToFit="0" vertical="center" wrapText="0"/>
    </xf>
    <xf borderId="5" fillId="0" fontId="4" numFmtId="0" xfId="0" applyAlignment="1" applyBorder="1" applyFont="1">
      <alignment horizontal="center" shrinkToFit="0" vertical="center" wrapText="0"/>
    </xf>
    <xf borderId="5" fillId="0" fontId="4" numFmtId="165" xfId="0" applyAlignment="1" applyBorder="1" applyFont="1" applyNumberFormat="1">
      <alignment horizontal="center" shrinkToFit="0" vertical="center" wrapText="0"/>
    </xf>
    <xf borderId="0" fillId="0" fontId="10" numFmtId="0" xfId="0" applyAlignment="1" applyFont="1">
      <alignment readingOrder="0" shrinkToFit="0" wrapText="1"/>
    </xf>
    <xf borderId="5" fillId="0" fontId="4" numFmtId="166" xfId="0" applyAlignment="1" applyBorder="1" applyFont="1" applyNumberFormat="1">
      <alignment horizontal="center" shrinkToFit="0" vertical="center" wrapText="0"/>
    </xf>
    <xf borderId="0" fillId="8" fontId="10" numFmtId="4" xfId="0" applyFont="1" applyNumberFormat="1"/>
    <xf borderId="0" fillId="8" fontId="10" numFmtId="164" xfId="0" applyFont="1" applyNumberFormat="1"/>
    <xf borderId="0" fillId="8" fontId="10" numFmtId="0" xfId="0" applyFont="1"/>
    <xf borderId="0" fillId="0" fontId="4" numFmtId="0" xfId="0" applyAlignment="1" applyFont="1">
      <alignment shrinkToFit="0" vertical="bottom" wrapText="0"/>
    </xf>
    <xf borderId="2" fillId="10" fontId="5" numFmtId="0" xfId="0" applyAlignment="1" applyBorder="1" applyFill="1" applyFont="1">
      <alignment horizontal="center" shrinkToFit="0" vertical="center" wrapText="0"/>
    </xf>
    <xf borderId="4" fillId="10" fontId="5" numFmtId="0" xfId="0" applyAlignment="1" applyBorder="1" applyFont="1">
      <alignment horizontal="center" shrinkToFit="0" vertical="center" wrapText="0"/>
    </xf>
    <xf borderId="7" fillId="0" fontId="4" numFmtId="4" xfId="0" applyAlignment="1" applyBorder="1" applyFont="1" applyNumberFormat="1">
      <alignment horizontal="center" shrinkToFit="0" vertical="center" wrapText="0"/>
    </xf>
    <xf borderId="1" fillId="11" fontId="5" numFmtId="0" xfId="0" applyAlignment="1" applyBorder="1" applyFill="1" applyFont="1">
      <alignment horizontal="center" shrinkToFit="0" vertical="center" wrapText="0"/>
    </xf>
    <xf borderId="5" fillId="0" fontId="6" numFmtId="4" xfId="0" applyAlignment="1" applyBorder="1" applyFont="1" applyNumberFormat="1">
      <alignment horizontal="center" shrinkToFit="0" vertical="center" wrapText="0"/>
    </xf>
    <xf borderId="5" fillId="0" fontId="6" numFmtId="3" xfId="0" applyAlignment="1" applyBorder="1" applyFont="1" applyNumberFormat="1">
      <alignment horizontal="center" shrinkToFit="0" vertical="center" wrapText="0"/>
    </xf>
    <xf borderId="0" fillId="0" fontId="4" numFmtId="9" xfId="0" applyAlignment="1" applyFont="1" applyNumberForma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2.0"/>
    <col customWidth="1" min="3" max="3" width="51.29"/>
    <col customWidth="1" min="4" max="4" width="29.0"/>
    <col customWidth="1" min="5" max="5" width="25.71"/>
    <col customWidth="1" min="6" max="6" width="31.14"/>
    <col customWidth="1" min="7" max="7" width="32.14"/>
    <col customWidth="1" min="8" max="8" width="42.14"/>
    <col customWidth="1" min="9" max="9" width="35.71"/>
    <col customWidth="1" min="10" max="12" width="20.71"/>
    <col customWidth="1" min="13" max="28" width="8.71"/>
  </cols>
  <sheetData>
    <row r="1" ht="35.25" customHeight="1">
      <c r="A1" s="1"/>
      <c r="B1" s="2"/>
      <c r="C1" s="3" t="s">
        <v>0</v>
      </c>
      <c r="D1" s="4"/>
      <c r="E1" s="4"/>
      <c r="F1" s="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18.75" customHeight="1">
      <c r="A2" s="6"/>
      <c r="B2" s="6"/>
      <c r="C2" s="6"/>
      <c r="D2" s="6"/>
      <c r="E2" s="6"/>
      <c r="F2" s="6"/>
      <c r="G2" s="6"/>
      <c r="H2" s="7" t="s">
        <v>1</v>
      </c>
      <c r="I2" s="4"/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8.75" customHeight="1">
      <c r="A3" s="8"/>
      <c r="C3" s="8" t="s">
        <v>2</v>
      </c>
      <c r="D3" s="9">
        <v>1243980.0</v>
      </c>
      <c r="E3" s="10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8.75" customHeight="1">
      <c r="C4" s="8" t="s">
        <v>3</v>
      </c>
      <c r="D4" s="9">
        <v>3.6</v>
      </c>
      <c r="G4" s="6"/>
      <c r="H4" s="11" t="s">
        <v>4</v>
      </c>
      <c r="I4" s="12">
        <f>D43</f>
        <v>725.76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ht="18.75" customHeight="1">
      <c r="C5" s="8" t="s">
        <v>5</v>
      </c>
      <c r="D5" s="9">
        <v>224000.0</v>
      </c>
      <c r="G5" s="6"/>
      <c r="H5" s="11" t="s">
        <v>6</v>
      </c>
      <c r="I5" s="12">
        <f>K69</f>
        <v>1016354.304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8.75" customHeight="1">
      <c r="C6" s="8" t="s">
        <v>7</v>
      </c>
      <c r="D6" s="9">
        <v>0.9</v>
      </c>
      <c r="G6" s="6"/>
      <c r="H6" s="11" t="s">
        <v>8</v>
      </c>
      <c r="I6" s="12">
        <f>L69</f>
        <v>370969321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8.75" customHeight="1">
      <c r="C7" s="8" t="s">
        <v>9</v>
      </c>
      <c r="D7" s="13">
        <f>D3/D4</f>
        <v>345550</v>
      </c>
      <c r="G7" s="6"/>
      <c r="H7" s="11" t="s">
        <v>10</v>
      </c>
      <c r="I7" s="12">
        <f t="shared" ref="I7:I8" si="1">D105</f>
        <v>1460.761886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8.75" customHeight="1">
      <c r="C8" s="8" t="s">
        <v>11</v>
      </c>
      <c r="D8" s="14">
        <f>D5/D7</f>
        <v>0.6482419332</v>
      </c>
      <c r="G8" s="6"/>
      <c r="H8" s="11" t="s">
        <v>12</v>
      </c>
      <c r="I8" s="12">
        <f t="shared" si="1"/>
        <v>533178.0884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C9" s="6"/>
      <c r="D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30.0" customHeight="1">
      <c r="C10" s="15" t="s">
        <v>13</v>
      </c>
      <c r="D10" s="5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8.75" customHeight="1">
      <c r="C11" s="6" t="s">
        <v>14</v>
      </c>
      <c r="D11" s="14">
        <v>0.45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ht="19.5" customHeight="1">
      <c r="C12" s="6" t="s">
        <v>15</v>
      </c>
      <c r="D12" s="14">
        <v>0.2</v>
      </c>
      <c r="G12" s="6"/>
      <c r="H12" s="16"/>
      <c r="I12" s="16"/>
      <c r="J12" s="16"/>
      <c r="K12" s="16"/>
      <c r="L12" s="1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ht="18.0" customHeight="1">
      <c r="C13" s="6" t="s">
        <v>16</v>
      </c>
      <c r="D13" s="14">
        <v>0.15</v>
      </c>
      <c r="G13" s="6"/>
      <c r="H13" s="10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ht="17.25" customHeight="1">
      <c r="C14" s="6" t="s">
        <v>17</v>
      </c>
      <c r="D14" s="14">
        <v>0.05</v>
      </c>
      <c r="G14" s="6"/>
      <c r="H14" s="17"/>
      <c r="I14" s="18"/>
      <c r="J14" s="19"/>
      <c r="K14" s="20"/>
      <c r="L14" s="19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ht="18.0" customHeight="1">
      <c r="C15" s="6" t="s">
        <v>18</v>
      </c>
      <c r="D15" s="14">
        <v>0.05</v>
      </c>
      <c r="G15" s="6"/>
      <c r="H15" s="17"/>
      <c r="I15" s="18"/>
      <c r="J15" s="19"/>
      <c r="K15" s="20"/>
      <c r="L15" s="19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7.25" customHeight="1">
      <c r="C16" s="6" t="s">
        <v>19</v>
      </c>
      <c r="D16" s="14">
        <v>0.1</v>
      </c>
      <c r="G16" s="6"/>
      <c r="H16" s="17"/>
      <c r="I16" s="18"/>
      <c r="J16" s="19"/>
      <c r="K16" s="20"/>
      <c r="L16" s="19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ht="17.25" customHeight="1">
      <c r="C17" s="6"/>
      <c r="D17" s="14"/>
      <c r="G17" s="6"/>
      <c r="H17" s="10"/>
      <c r="I17" s="21"/>
      <c r="J17" s="10"/>
      <c r="K17" s="10"/>
      <c r="L17" s="10"/>
      <c r="M17" s="21"/>
      <c r="N17" s="10"/>
      <c r="O17" s="10"/>
      <c r="P17" s="10"/>
      <c r="Q17" s="21"/>
      <c r="R17" s="10"/>
      <c r="S17" s="10"/>
      <c r="T17" s="10"/>
      <c r="U17" s="6"/>
      <c r="V17" s="6"/>
      <c r="W17" s="6"/>
      <c r="X17" s="6"/>
      <c r="Y17" s="6"/>
      <c r="Z17" s="6"/>
      <c r="AA17" s="6"/>
      <c r="AB17" s="6"/>
    </row>
    <row r="18">
      <c r="C18" s="6"/>
      <c r="D18" s="6"/>
      <c r="G18" s="6"/>
      <c r="H18" s="10"/>
      <c r="I18" s="21"/>
      <c r="J18" s="10"/>
      <c r="K18" s="10"/>
      <c r="L18" s="10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ht="30.0" customHeight="1">
      <c r="C19" s="22" t="s">
        <v>20</v>
      </c>
      <c r="D19" s="5"/>
      <c r="G19" s="6"/>
      <c r="H19" s="10"/>
      <c r="I19" s="21"/>
      <c r="J19" s="10"/>
      <c r="K19" s="10"/>
      <c r="L19" s="10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ht="18.75" customHeight="1">
      <c r="C20" s="6" t="s">
        <v>21</v>
      </c>
      <c r="D20" s="14">
        <v>0.9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8.75" customHeight="1">
      <c r="C21" s="6" t="s">
        <v>22</v>
      </c>
      <c r="D21" s="23">
        <v>0.1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ht="18.75" customHeight="1">
      <c r="C22" s="6" t="s">
        <v>23</v>
      </c>
      <c r="D22" s="14">
        <v>0.5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ht="18.75" customHeight="1">
      <c r="C23" s="6" t="s">
        <v>24</v>
      </c>
      <c r="D23" s="24">
        <v>0.7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ht="18.75" customHeight="1">
      <c r="C24" s="6" t="s">
        <v>25</v>
      </c>
      <c r="D24" s="25">
        <v>0.3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ht="18.75" customHeight="1">
      <c r="C25" s="6" t="s">
        <v>26</v>
      </c>
      <c r="D25" s="26">
        <v>0.7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32.25" customHeight="1">
      <c r="C26" s="22" t="s">
        <v>27</v>
      </c>
      <c r="D26" s="5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ht="18.75" customHeight="1">
      <c r="C27" s="6" t="s">
        <v>28</v>
      </c>
      <c r="D27" s="27">
        <v>5.5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ht="18.75" customHeight="1">
      <c r="C28" s="6" t="s">
        <v>29</v>
      </c>
      <c r="D28" s="9">
        <v>2.5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ht="18.75" customHeight="1">
      <c r="C29" s="6" t="s">
        <v>30</v>
      </c>
      <c r="D29" s="27">
        <v>2.3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ht="18.75" customHeight="1">
      <c r="C30" s="6" t="s">
        <v>31</v>
      </c>
      <c r="D30" s="9">
        <v>15.1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8.75" customHeight="1">
      <c r="C31" s="10" t="s">
        <v>32</v>
      </c>
      <c r="D31" s="10">
        <v>8.5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8.75" customHeight="1">
      <c r="C32" s="10" t="s">
        <v>33</v>
      </c>
      <c r="D32" s="10">
        <v>1.0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27.75" customHeight="1">
      <c r="C33" s="15" t="s">
        <v>34</v>
      </c>
      <c r="D33" s="5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8.75" customHeight="1">
      <c r="C34" s="6" t="s">
        <v>35</v>
      </c>
      <c r="D34" s="9">
        <v>234.0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8.75" customHeight="1">
      <c r="C35" s="6" t="s">
        <v>36</v>
      </c>
      <c r="D35" s="13">
        <v>7.168E-4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8.75" customHeight="1">
      <c r="C36" s="6" t="s">
        <v>37</v>
      </c>
      <c r="D36" s="28">
        <v>27.0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8.75" customHeight="1">
      <c r="C37" s="6" t="s">
        <v>38</v>
      </c>
      <c r="D37" s="14">
        <v>0.3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8"/>
      <c r="B38" s="8"/>
      <c r="C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33.0" customHeight="1">
      <c r="A39" s="29"/>
      <c r="B39" s="29"/>
      <c r="C39" s="3" t="s">
        <v>39</v>
      </c>
      <c r="D39" s="4"/>
      <c r="E39" s="4"/>
      <c r="F39" s="5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</row>
    <row r="40" ht="15.75" customHeight="1">
      <c r="A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C41" s="8" t="s">
        <v>40</v>
      </c>
      <c r="D41" s="28">
        <f>D5*D4</f>
        <v>806400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C42" s="8" t="s">
        <v>41</v>
      </c>
      <c r="D42" s="13">
        <f>D41*D6</f>
        <v>725760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C43" s="8" t="s">
        <v>42</v>
      </c>
      <c r="D43" s="13">
        <f>D42/1000</f>
        <v>725.76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C44" s="10" t="s">
        <v>43</v>
      </c>
      <c r="D44" s="31">
        <v>224000.0</v>
      </c>
      <c r="E44" s="6"/>
      <c r="F44" s="6"/>
      <c r="G44" s="6"/>
      <c r="H44" s="10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C45" s="6"/>
      <c r="D45" s="6"/>
      <c r="E45" s="6"/>
      <c r="F45" s="10"/>
      <c r="G45" s="10"/>
      <c r="H45" s="10"/>
      <c r="I45" s="10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C46" s="16" t="s">
        <v>44</v>
      </c>
      <c r="D46" s="16" t="s">
        <v>45</v>
      </c>
      <c r="E46" s="16" t="s">
        <v>46</v>
      </c>
      <c r="F46" s="10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C47" s="6" t="s">
        <v>14</v>
      </c>
      <c r="D47" s="14">
        <f t="shared" ref="D47:D52" si="2">D11</f>
        <v>0.45</v>
      </c>
      <c r="E47" s="13">
        <f t="shared" ref="E47:E52" si="3">$D$43*D47</f>
        <v>326.592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C48" s="6" t="s">
        <v>15</v>
      </c>
      <c r="D48" s="14">
        <f t="shared" si="2"/>
        <v>0.2</v>
      </c>
      <c r="E48" s="13">
        <f t="shared" si="3"/>
        <v>145.152</v>
      </c>
      <c r="F48" s="6"/>
      <c r="G48" s="6"/>
      <c r="H48" s="10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C49" s="6" t="s">
        <v>16</v>
      </c>
      <c r="D49" s="14">
        <f t="shared" si="2"/>
        <v>0.15</v>
      </c>
      <c r="E49" s="13">
        <f t="shared" si="3"/>
        <v>108.864</v>
      </c>
      <c r="F49" s="6"/>
      <c r="G49" s="10"/>
      <c r="H49" s="10"/>
      <c r="I49" s="10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C50" s="6" t="s">
        <v>17</v>
      </c>
      <c r="D50" s="14">
        <f t="shared" si="2"/>
        <v>0.05</v>
      </c>
      <c r="E50" s="13">
        <f t="shared" si="3"/>
        <v>36.288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C51" s="6" t="s">
        <v>18</v>
      </c>
      <c r="D51" s="14">
        <f t="shared" si="2"/>
        <v>0.05</v>
      </c>
      <c r="E51" s="13">
        <f t="shared" si="3"/>
        <v>36.288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C52" s="32" t="s">
        <v>19</v>
      </c>
      <c r="D52" s="14">
        <f t="shared" si="2"/>
        <v>0.1</v>
      </c>
      <c r="E52" s="33">
        <f t="shared" si="3"/>
        <v>72.576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C53" s="16" t="s">
        <v>47</v>
      </c>
      <c r="D53" s="14">
        <f>1-SUM(D47:D52)</f>
        <v>0</v>
      </c>
      <c r="E53" s="13">
        <f>SUM(E47:E52)</f>
        <v>725.76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C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27.75" customHeight="1">
      <c r="A58" s="2"/>
      <c r="B58" s="2"/>
      <c r="C58" s="34" t="s">
        <v>48</v>
      </c>
      <c r="D58" s="4"/>
      <c r="E58" s="4"/>
      <c r="F58" s="4"/>
      <c r="G58" s="5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44.25" customHeight="1">
      <c r="A61" s="35"/>
      <c r="B61" s="35"/>
      <c r="C61" s="16" t="s">
        <v>49</v>
      </c>
      <c r="D61" s="16" t="s">
        <v>50</v>
      </c>
      <c r="E61" s="16" t="s">
        <v>51</v>
      </c>
      <c r="F61" s="16" t="s">
        <v>52</v>
      </c>
      <c r="G61" s="36" t="s">
        <v>53</v>
      </c>
      <c r="H61" s="36" t="s">
        <v>54</v>
      </c>
      <c r="I61" s="37" t="s">
        <v>55</v>
      </c>
      <c r="J61" s="38" t="s">
        <v>56</v>
      </c>
      <c r="K61" s="16" t="s">
        <v>57</v>
      </c>
      <c r="L61" s="16" t="s">
        <v>58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27.0" customHeight="1">
      <c r="C62" s="39" t="s">
        <v>59</v>
      </c>
      <c r="D62" s="40">
        <f>E49</f>
        <v>108.864</v>
      </c>
      <c r="E62" s="41">
        <f t="shared" ref="E62:E68" si="4">$D$20</f>
        <v>0.9</v>
      </c>
      <c r="F62" s="42">
        <f t="shared" ref="F62:F68" si="5">D62*E62</f>
        <v>97.9776</v>
      </c>
      <c r="G62" s="42">
        <f t="shared" ref="G62:G68" si="6">F62*1000</f>
        <v>97977.6</v>
      </c>
      <c r="H62" s="42">
        <f t="shared" ref="H62:H68" si="7">G62*25</f>
        <v>2449440</v>
      </c>
      <c r="I62" s="42">
        <f t="shared" ref="I62:I69" si="8">H62/1000</f>
        <v>2449.44</v>
      </c>
    </row>
    <row r="63" ht="26.25" customHeight="1">
      <c r="A63" s="43"/>
      <c r="B63" s="43"/>
      <c r="C63" s="44" t="s">
        <v>60</v>
      </c>
      <c r="D63" s="40">
        <f>E51</f>
        <v>36.288</v>
      </c>
      <c r="E63" s="41">
        <f t="shared" si="4"/>
        <v>0.9</v>
      </c>
      <c r="F63" s="43">
        <f t="shared" si="5"/>
        <v>32.6592</v>
      </c>
      <c r="G63" s="43">
        <f t="shared" si="6"/>
        <v>32659.2</v>
      </c>
      <c r="H63" s="42">
        <f t="shared" si="7"/>
        <v>816480</v>
      </c>
      <c r="I63" s="42">
        <f t="shared" si="8"/>
        <v>816.48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</row>
    <row r="64" ht="15.75" customHeight="1">
      <c r="A64" s="6"/>
      <c r="C64" s="6" t="s">
        <v>61</v>
      </c>
      <c r="D64" s="45">
        <f>D62*0.5</f>
        <v>54.432</v>
      </c>
      <c r="E64" s="41">
        <f t="shared" si="4"/>
        <v>0.9</v>
      </c>
      <c r="F64" s="42">
        <f t="shared" si="5"/>
        <v>48.9888</v>
      </c>
      <c r="G64" s="42">
        <f t="shared" si="6"/>
        <v>48988.8</v>
      </c>
      <c r="H64" s="42">
        <f t="shared" si="7"/>
        <v>1224720</v>
      </c>
      <c r="I64" s="42">
        <f t="shared" si="8"/>
        <v>1224.72</v>
      </c>
      <c r="J64" s="13">
        <f>$D$27</f>
        <v>5.5</v>
      </c>
      <c r="K64" s="46">
        <f>G64*J64</f>
        <v>269438.4</v>
      </c>
      <c r="L64" s="46">
        <f>K64*365</f>
        <v>98345016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ht="15.75" customHeight="1">
      <c r="C65" s="47" t="s">
        <v>62</v>
      </c>
      <c r="D65" s="48">
        <f>D62*0.5</f>
        <v>54.432</v>
      </c>
      <c r="E65" s="41">
        <f t="shared" si="4"/>
        <v>0.9</v>
      </c>
      <c r="F65" s="42">
        <f t="shared" si="5"/>
        <v>48.9888</v>
      </c>
      <c r="G65" s="42">
        <f t="shared" si="6"/>
        <v>48988.8</v>
      </c>
      <c r="H65" s="42">
        <f t="shared" si="7"/>
        <v>1224720</v>
      </c>
      <c r="I65" s="42">
        <f t="shared" si="8"/>
        <v>1224.72</v>
      </c>
      <c r="J65" s="13"/>
      <c r="K65" s="46"/>
      <c r="L65" s="4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ht="15.75" customHeight="1">
      <c r="C66" s="6" t="s">
        <v>63</v>
      </c>
      <c r="D66" s="13">
        <f>E48</f>
        <v>145.152</v>
      </c>
      <c r="E66" s="41">
        <f t="shared" si="4"/>
        <v>0.9</v>
      </c>
      <c r="F66" s="42">
        <f t="shared" si="5"/>
        <v>130.6368</v>
      </c>
      <c r="G66" s="42">
        <f t="shared" si="6"/>
        <v>130636.8</v>
      </c>
      <c r="H66" s="42">
        <f t="shared" si="7"/>
        <v>3265920</v>
      </c>
      <c r="I66" s="42">
        <f t="shared" si="8"/>
        <v>3265.92</v>
      </c>
      <c r="J66" s="13">
        <f>$D$28</f>
        <v>2.5</v>
      </c>
      <c r="K66" s="46">
        <f t="shared" ref="K66:K68" si="9">G66*J66</f>
        <v>326592</v>
      </c>
      <c r="L66" s="46">
        <f t="shared" ref="L66:L68" si="10">K66*365</f>
        <v>119206080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ht="15.75" customHeight="1">
      <c r="C67" s="6" t="s">
        <v>17</v>
      </c>
      <c r="D67" s="13">
        <f>E50</f>
        <v>36.288</v>
      </c>
      <c r="E67" s="41">
        <f t="shared" si="4"/>
        <v>0.9</v>
      </c>
      <c r="F67" s="42">
        <f t="shared" si="5"/>
        <v>32.6592</v>
      </c>
      <c r="G67" s="42">
        <f t="shared" si="6"/>
        <v>32659.2</v>
      </c>
      <c r="H67" s="42">
        <f t="shared" si="7"/>
        <v>816480</v>
      </c>
      <c r="I67" s="42">
        <f t="shared" si="8"/>
        <v>816.48</v>
      </c>
      <c r="J67" s="13">
        <f t="shared" ref="J67:J68" si="11">D29</f>
        <v>2.3</v>
      </c>
      <c r="K67" s="46">
        <f t="shared" si="9"/>
        <v>75116.16</v>
      </c>
      <c r="L67" s="46">
        <f t="shared" si="10"/>
        <v>27417398.4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ht="15.75" customHeight="1">
      <c r="C68" s="6" t="s">
        <v>64</v>
      </c>
      <c r="D68" s="42">
        <f>D63*0.7</f>
        <v>25.4016</v>
      </c>
      <c r="E68" s="41">
        <f t="shared" si="4"/>
        <v>0.9</v>
      </c>
      <c r="F68" s="42">
        <f t="shared" si="5"/>
        <v>22.86144</v>
      </c>
      <c r="G68" s="42">
        <f t="shared" si="6"/>
        <v>22861.44</v>
      </c>
      <c r="H68" s="42">
        <f t="shared" si="7"/>
        <v>571536</v>
      </c>
      <c r="I68" s="42">
        <f t="shared" si="8"/>
        <v>571.536</v>
      </c>
      <c r="J68" s="13">
        <f t="shared" si="11"/>
        <v>15.1</v>
      </c>
      <c r="K68" s="46">
        <f t="shared" si="9"/>
        <v>345207.744</v>
      </c>
      <c r="L68" s="46">
        <f t="shared" si="10"/>
        <v>126000826.6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ht="15.75" customHeight="1">
      <c r="A69" s="35"/>
      <c r="B69" s="35"/>
      <c r="C69" s="16" t="s">
        <v>47</v>
      </c>
      <c r="D69" s="49">
        <f t="shared" ref="D69:H69" si="12">SUM(D62:D68)</f>
        <v>460.8576</v>
      </c>
      <c r="E69" s="50">
        <f t="shared" si="12"/>
        <v>6.3</v>
      </c>
      <c r="F69" s="51">
        <f t="shared" si="12"/>
        <v>414.77184</v>
      </c>
      <c r="G69" s="51">
        <f t="shared" si="12"/>
        <v>414771.84</v>
      </c>
      <c r="H69" s="51">
        <f t="shared" si="12"/>
        <v>10369296</v>
      </c>
      <c r="I69" s="51">
        <f t="shared" si="8"/>
        <v>10369.296</v>
      </c>
      <c r="J69" s="51">
        <f t="shared" ref="J69:L69" si="13">SUM(J62:J68)</f>
        <v>25.4</v>
      </c>
      <c r="K69" s="51">
        <f t="shared" si="13"/>
        <v>1016354.304</v>
      </c>
      <c r="L69" s="51">
        <f t="shared" si="13"/>
        <v>370969321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ht="15.75" customHeight="1">
      <c r="A76" s="2"/>
      <c r="B76" s="2"/>
      <c r="C76" s="7" t="s">
        <v>65</v>
      </c>
      <c r="D76" s="4"/>
      <c r="E76" s="4"/>
      <c r="F76" s="4"/>
      <c r="G76" s="5"/>
      <c r="H76" s="52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ht="15.75" customHeight="1">
      <c r="A77" s="52"/>
      <c r="B77" s="52"/>
      <c r="C77" s="52"/>
      <c r="D77" s="52"/>
      <c r="E77" s="52"/>
      <c r="F77" s="52"/>
      <c r="G77" s="52"/>
      <c r="H77" s="52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ht="18.75" customHeight="1">
      <c r="A78" s="52"/>
      <c r="B78" s="52"/>
      <c r="C78" s="53" t="s">
        <v>66</v>
      </c>
      <c r="D78" s="4"/>
      <c r="E78" s="54"/>
      <c r="F78" s="52"/>
      <c r="G78" s="52"/>
      <c r="H78" s="52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ht="18.75" customHeight="1">
      <c r="A79" s="52"/>
      <c r="B79" s="52"/>
      <c r="C79" s="8" t="s">
        <v>67</v>
      </c>
      <c r="D79" s="55">
        <f>E47</f>
        <v>326.592</v>
      </c>
      <c r="E79" s="52"/>
      <c r="F79" s="52"/>
      <c r="G79" s="52"/>
      <c r="H79" s="52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ht="18.75" customHeight="1">
      <c r="A80" s="52"/>
      <c r="B80" s="52"/>
      <c r="C80" s="8" t="s">
        <v>68</v>
      </c>
      <c r="D80" s="14">
        <f t="shared" ref="D80:D81" si="14">D24</f>
        <v>0.3</v>
      </c>
      <c r="E80" s="52"/>
      <c r="F80" s="52"/>
      <c r="G80" s="52"/>
      <c r="H80" s="52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ht="18.75" customHeight="1">
      <c r="A81" s="52"/>
      <c r="B81" s="52"/>
      <c r="C81" s="8" t="s">
        <v>69</v>
      </c>
      <c r="D81" s="14">
        <f t="shared" si="14"/>
        <v>0.7</v>
      </c>
      <c r="E81" s="52"/>
      <c r="F81" s="52"/>
      <c r="G81" s="52"/>
      <c r="H81" s="52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ht="18.75" customHeight="1">
      <c r="A82" s="52"/>
      <c r="B82" s="52"/>
      <c r="C82" s="8" t="s">
        <v>70</v>
      </c>
      <c r="D82" s="14">
        <f>1-(D24+D25)</f>
        <v>0</v>
      </c>
      <c r="E82" s="52"/>
      <c r="F82" s="52"/>
      <c r="G82" s="52"/>
      <c r="H82" s="52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ht="18.75" customHeight="1">
      <c r="A83" s="52"/>
      <c r="B83" s="52"/>
      <c r="C83" s="8" t="s">
        <v>71</v>
      </c>
      <c r="D83" s="13">
        <f>D79*D24</f>
        <v>97.9776</v>
      </c>
      <c r="E83" s="52"/>
      <c r="F83" s="52"/>
      <c r="G83" s="52"/>
      <c r="H83" s="52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ht="18.75" customHeight="1">
      <c r="A84" s="52"/>
      <c r="B84" s="52"/>
      <c r="C84" s="8" t="s">
        <v>72</v>
      </c>
      <c r="D84" s="13">
        <f>D79*D25</f>
        <v>228.6144</v>
      </c>
      <c r="E84" s="52"/>
      <c r="F84" s="52"/>
      <c r="G84" s="52"/>
      <c r="H84" s="52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ht="18.75" customHeight="1">
      <c r="A85" s="52"/>
      <c r="B85" s="52"/>
      <c r="C85" s="8" t="s">
        <v>73</v>
      </c>
      <c r="D85" s="13">
        <f>D79*D82</f>
        <v>0</v>
      </c>
      <c r="E85" s="52"/>
      <c r="F85" s="52"/>
      <c r="G85" s="52"/>
      <c r="H85" s="52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ht="18.75" customHeight="1">
      <c r="A86" s="52"/>
      <c r="B86" s="52"/>
      <c r="C86" s="52"/>
      <c r="D86" s="52"/>
      <c r="E86" s="52"/>
      <c r="F86" s="52"/>
      <c r="G86" s="52"/>
      <c r="H86" s="52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ht="18.75" customHeight="1">
      <c r="A87" s="52"/>
      <c r="B87" s="52"/>
      <c r="C87" s="53" t="s">
        <v>74</v>
      </c>
      <c r="D87" s="4"/>
      <c r="E87" s="54"/>
      <c r="F87" s="52"/>
      <c r="G87" s="52"/>
      <c r="H87" s="52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ht="18.75" customHeight="1">
      <c r="A88" s="52"/>
      <c r="B88" s="52"/>
      <c r="C88" s="8" t="s">
        <v>75</v>
      </c>
      <c r="D88" s="55">
        <f>D79*$D$34</f>
        <v>76422.528</v>
      </c>
      <c r="E88" s="52"/>
      <c r="F88" s="52"/>
      <c r="G88" s="52"/>
      <c r="H88" s="52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ht="18.75" customHeight="1">
      <c r="A89" s="52"/>
      <c r="B89" s="52"/>
      <c r="C89" s="8" t="s">
        <v>76</v>
      </c>
      <c r="D89" s="13">
        <f>D88*$D$35</f>
        <v>54.77966807</v>
      </c>
      <c r="E89" s="52"/>
      <c r="F89" s="52"/>
      <c r="G89" s="52"/>
      <c r="H89" s="52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ht="18.75" customHeight="1">
      <c r="A90" s="52"/>
      <c r="B90" s="52"/>
      <c r="C90" s="8" t="s">
        <v>77</v>
      </c>
      <c r="D90" s="13">
        <f>D89*$D$36</f>
        <v>1479.051038</v>
      </c>
      <c r="E90" s="52"/>
      <c r="F90" s="52"/>
      <c r="G90" s="52"/>
      <c r="H90" s="52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ht="18.75" customHeight="1">
      <c r="A91" s="52"/>
      <c r="B91" s="52"/>
      <c r="C91" s="52"/>
      <c r="D91" s="52"/>
      <c r="E91" s="52"/>
      <c r="F91" s="52"/>
      <c r="G91" s="52"/>
      <c r="H91" s="52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ht="18.75" customHeight="1">
      <c r="A92" s="52"/>
      <c r="B92" s="52"/>
      <c r="C92" s="53" t="s">
        <v>78</v>
      </c>
      <c r="D92" s="4"/>
      <c r="E92" s="54"/>
      <c r="F92" s="52"/>
      <c r="G92" s="52"/>
      <c r="H92" s="52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ht="18.75" customHeight="1">
      <c r="A93" s="52"/>
      <c r="B93" s="52"/>
      <c r="C93" s="56" t="s">
        <v>79</v>
      </c>
      <c r="D93" s="52"/>
      <c r="E93" s="52"/>
      <c r="F93" s="52"/>
      <c r="G93" s="52"/>
      <c r="H93" s="52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ht="15.75" customHeight="1">
      <c r="A94" s="52"/>
      <c r="B94" s="52"/>
      <c r="C94" s="8" t="s">
        <v>80</v>
      </c>
      <c r="D94" s="13">
        <f>D85*$D$83</f>
        <v>0</v>
      </c>
      <c r="E94" s="52"/>
      <c r="F94" s="52"/>
      <c r="G94" s="52"/>
      <c r="H94" s="52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ht="15.75" customHeight="1">
      <c r="A95" s="52"/>
      <c r="B95" s="52"/>
      <c r="C95" s="8" t="s">
        <v>81</v>
      </c>
      <c r="D95" s="13">
        <f>D94*$D$35</f>
        <v>0</v>
      </c>
      <c r="E95" s="52"/>
      <c r="F95" s="52"/>
      <c r="G95" s="52"/>
      <c r="H95" s="52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ht="15.75" customHeight="1">
      <c r="A96" s="52"/>
      <c r="B96" s="52"/>
      <c r="C96" s="8" t="s">
        <v>82</v>
      </c>
      <c r="D96" s="13">
        <f>D95*$D$36</f>
        <v>0</v>
      </c>
      <c r="E96" s="52"/>
      <c r="F96" s="52"/>
      <c r="G96" s="52"/>
      <c r="H96" s="52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ht="15.75" customHeight="1">
      <c r="A97" s="52"/>
      <c r="B97" s="52"/>
      <c r="C97" s="56" t="s">
        <v>83</v>
      </c>
      <c r="D97" s="52"/>
      <c r="E97" s="52"/>
      <c r="F97" s="52"/>
      <c r="G97" s="52"/>
      <c r="H97" s="52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ht="15.75" customHeight="1">
      <c r="A98" s="52"/>
      <c r="B98" s="52"/>
      <c r="C98" s="8" t="s">
        <v>84</v>
      </c>
      <c r="D98" s="13">
        <v>0.0</v>
      </c>
      <c r="E98" s="52"/>
      <c r="F98" s="52"/>
      <c r="G98" s="52"/>
      <c r="H98" s="52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ht="15.75" customHeight="1">
      <c r="A99" s="52"/>
      <c r="B99" s="52"/>
      <c r="C99" s="56" t="s">
        <v>85</v>
      </c>
      <c r="D99" s="52"/>
      <c r="E99" s="52"/>
      <c r="F99" s="52"/>
      <c r="G99" s="52"/>
      <c r="H99" s="52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ht="15.75" customHeight="1">
      <c r="A100" s="52"/>
      <c r="B100" s="52"/>
      <c r="C100" s="8" t="s">
        <v>86</v>
      </c>
      <c r="D100" s="13">
        <f>D84*0.08</f>
        <v>18.289152</v>
      </c>
      <c r="E100" s="52"/>
      <c r="F100" s="52"/>
      <c r="G100" s="52"/>
      <c r="H100" s="52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ht="15.75" customHeight="1">
      <c r="A101" s="52"/>
      <c r="B101" s="52"/>
      <c r="C101" s="8" t="s">
        <v>87</v>
      </c>
      <c r="D101" s="57">
        <f>D96+D98+D100</f>
        <v>18.289152</v>
      </c>
      <c r="E101" s="52"/>
      <c r="F101" s="52"/>
      <c r="G101" s="52"/>
      <c r="H101" s="52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ht="15.75" customHeight="1">
      <c r="A103" s="52"/>
      <c r="B103" s="52"/>
      <c r="C103" s="53" t="s">
        <v>88</v>
      </c>
      <c r="D103" s="4"/>
      <c r="E103" s="54"/>
      <c r="F103" s="52"/>
      <c r="G103" s="52"/>
      <c r="H103" s="52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ht="15.75" customHeight="1">
      <c r="A104" s="52"/>
      <c r="B104" s="52"/>
      <c r="C104" s="8" t="s">
        <v>89</v>
      </c>
      <c r="D104" s="55">
        <f>D79-D85</f>
        <v>326.592</v>
      </c>
      <c r="E104" s="52"/>
      <c r="F104" s="52"/>
      <c r="G104" s="52"/>
      <c r="H104" s="52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ht="15.75" customHeight="1">
      <c r="A105" s="52"/>
      <c r="B105" s="52"/>
      <c r="C105" s="8" t="s">
        <v>10</v>
      </c>
      <c r="D105" s="13">
        <f>D90-D101</f>
        <v>1460.761886</v>
      </c>
      <c r="E105" s="52"/>
      <c r="F105" s="52"/>
      <c r="G105" s="52"/>
      <c r="H105" s="52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ht="15.75" customHeight="1">
      <c r="A106" s="6"/>
      <c r="B106" s="6"/>
      <c r="C106" s="8" t="s">
        <v>12</v>
      </c>
      <c r="D106" s="58">
        <f>D105*365</f>
        <v>533178.0884</v>
      </c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ht="15.75" customHeight="1">
      <c r="A110" s="6"/>
      <c r="B110" s="10" t="s">
        <v>90</v>
      </c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ht="15.75" customHeight="1">
      <c r="A112" s="6"/>
      <c r="B112" s="10" t="s">
        <v>91</v>
      </c>
      <c r="C112" s="10" t="s">
        <v>92</v>
      </c>
      <c r="D112" s="10" t="s">
        <v>93</v>
      </c>
      <c r="E112" s="10" t="s">
        <v>94</v>
      </c>
      <c r="F112" s="10" t="s">
        <v>95</v>
      </c>
      <c r="G112" s="10" t="s">
        <v>58</v>
      </c>
      <c r="H112" s="10" t="s">
        <v>12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ht="15.75" customHeight="1">
      <c r="A113" s="10" t="s">
        <v>96</v>
      </c>
      <c r="B113" s="10">
        <v>1.0</v>
      </c>
      <c r="C113" s="59">
        <v>0.25</v>
      </c>
      <c r="D113" s="6">
        <f>D43*0.25</f>
        <v>181.44</v>
      </c>
      <c r="E113" s="6">
        <f t="shared" ref="E113:E115" si="15">D113*30</f>
        <v>5443.2</v>
      </c>
      <c r="F113" s="6">
        <f t="shared" ref="F113:F115" si="16">D113*365</f>
        <v>66225.6</v>
      </c>
      <c r="G113" s="6">
        <f t="shared" ref="G113:G115" si="17">D113*$L$69/$D$43</f>
        <v>92742330.24</v>
      </c>
      <c r="H113" s="6" t="str">
        <f>D112*0.25</f>
        <v>#ERROR!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ht="15.75" customHeight="1">
      <c r="A114" s="10" t="s">
        <v>97</v>
      </c>
      <c r="B114" s="10">
        <v>2.0</v>
      </c>
      <c r="C114" s="59">
        <v>0.6</v>
      </c>
      <c r="D114" s="6">
        <f>D43*0.6</f>
        <v>435.456</v>
      </c>
      <c r="E114" s="6">
        <f t="shared" si="15"/>
        <v>13063.68</v>
      </c>
      <c r="F114" s="6">
        <f t="shared" si="16"/>
        <v>158941.44</v>
      </c>
      <c r="G114" s="6">
        <f t="shared" si="17"/>
        <v>222581592.6</v>
      </c>
      <c r="H114" s="6" t="str">
        <f>D112*0.60</f>
        <v>#ERROR!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ht="15.75" customHeight="1">
      <c r="A115" s="10" t="s">
        <v>98</v>
      </c>
      <c r="B115" s="10">
        <v>3.0</v>
      </c>
      <c r="C115" s="59">
        <v>1.0</v>
      </c>
      <c r="D115" s="6">
        <f>D43*1</f>
        <v>725.76</v>
      </c>
      <c r="E115" s="6">
        <f t="shared" si="15"/>
        <v>21772.8</v>
      </c>
      <c r="F115" s="6">
        <f t="shared" si="16"/>
        <v>264902.4</v>
      </c>
      <c r="G115" s="6">
        <f t="shared" si="17"/>
        <v>370969321</v>
      </c>
      <c r="H115" s="6" t="str">
        <f>D112*1.00</f>
        <v>#ERROR!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20">
    <mergeCell ref="C1:F1"/>
    <mergeCell ref="H2:J2"/>
    <mergeCell ref="A3:B37"/>
    <mergeCell ref="E3:F37"/>
    <mergeCell ref="C10:D10"/>
    <mergeCell ref="H13:L13"/>
    <mergeCell ref="C19:D19"/>
    <mergeCell ref="C39:F39"/>
    <mergeCell ref="C76:G76"/>
    <mergeCell ref="C78:D78"/>
    <mergeCell ref="C87:D87"/>
    <mergeCell ref="C92:D92"/>
    <mergeCell ref="C103:D103"/>
    <mergeCell ref="C26:D26"/>
    <mergeCell ref="C33:D33"/>
    <mergeCell ref="C38:D38"/>
    <mergeCell ref="A40:B57"/>
    <mergeCell ref="C54:E57"/>
    <mergeCell ref="C58:G58"/>
    <mergeCell ref="A64:B68"/>
  </mergeCells>
  <printOptions/>
  <pageMargins bottom="0.75" footer="0.0" header="0.0" left="0.7" right="0.7" top="0.75"/>
  <pageSetup orientation="landscape"/>
  <drawing r:id="rId1"/>
</worksheet>
</file>