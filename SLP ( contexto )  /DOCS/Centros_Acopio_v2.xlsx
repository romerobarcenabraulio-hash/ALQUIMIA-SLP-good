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o CFO" sheetId="1" r:id="rId5"/>
    <sheet state="visible" name="Resumen Ejecutivo" sheetId="2" r:id="rId6"/>
    <sheet state="visible" name="Datos para Gráficas" sheetId="3" r:id="rId7"/>
    <sheet state="visible" name="Modelo Optimizacion"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3">
      <text>
        <t xml:space="preserve">Fuente: Modelo_RSUSLP_vivienda_particular_v2-FINAL.xlsx — celda D42. Si ese archivo cambia de nombre o ubicación, esta celda se rompe y todos los cálculos del sistema quedan desconectados. Verificar vínculo antes de cada presentación.</t>
      </text>
    </comment>
    <comment authorId="0" ref="C34">
      <text>
        <t xml:space="preserve">Concepto reservado para negociación en el adendo al contrato de concesión. Referencia de mercado: $80–200 MXN/ton. Activar este parámetro genera un ingreso adicional del 15–30% sobre el ingreso base por venta de materiales, mejorando sustancialmente el TIR del proyecto y la posición negociadora del municipio frente al concesionario actual.</t>
      </text>
    </comment>
    <comment authorId="0" ref="C35">
      <text>
        <t xml:space="preserve">El modelo asume que la materia prima llega al centro clasificada desde el programa de recolección diferenciada municipal SIN costo de adquisición (esquema concesión LEG). Escenario alternativo no modelado: compra a cadena informal con costo de $0.80–1.50/kg según fracción. En ese escenario, el margen bruto se reduce 40–60% y el TIR cae fuera del rango objetivo. La viabilidad financiera del modelo depende críticamente de este supuesto.</t>
      </text>
    </comment>
  </commentList>
</comments>
</file>

<file path=xl/sharedStrings.xml><?xml version="1.0" encoding="utf-8"?>
<sst xmlns="http://schemas.openxmlformats.org/spreadsheetml/2006/main" count="1028" uniqueCount="511">
  <si>
    <t>BLOQUE A — SUPUESTOS GENERALES PARAMETRIZADOS</t>
  </si>
  <si>
    <t>Parámetro</t>
  </si>
  <si>
    <t>Valor</t>
  </si>
  <si>
    <t>Unidad</t>
  </si>
  <si>
    <t>Fuente / Nota</t>
  </si>
  <si>
    <t>Tipo de cambio USD/MXN</t>
  </si>
  <si>
    <t>MXN/USD</t>
  </si>
  <si>
    <t>Tarifa eléctrica industrial SLP</t>
  </si>
  <si>
    <t>MXN/kWh</t>
  </si>
  <si>
    <t>Referencia CFE tarifa GDMTH SLP vigente. Verificar cotización actual.</t>
  </si>
  <si>
    <t>Precio gas LP industrial</t>
  </si>
  <si>
    <t>MXN/kg</t>
  </si>
  <si>
    <t>Supuesto razonado</t>
  </si>
  <si>
    <t>Precio diésel</t>
  </si>
  <si>
    <t>MXN/litro</t>
  </si>
  <si>
    <t>Factor contingencia energética</t>
  </si>
  <si>
    <t>x</t>
  </si>
  <si>
    <t>Días operativos al año</t>
  </si>
  <si>
    <t>días</t>
  </si>
  <si>
    <t>Días operativos al mes</t>
  </si>
  <si>
    <t>Merma estimada</t>
  </si>
  <si>
    <t>%</t>
  </si>
  <si>
    <t>Costo renta zona industrial SLP</t>
  </si>
  <si>
    <t>MXN/m²/mes</t>
  </si>
  <si>
    <t>Factor prestaciones sociales</t>
  </si>
  <si>
    <t>WACC</t>
  </si>
  <si>
    <t>Tasa ISR</t>
  </si>
  <si>
    <t>PTU</t>
  </si>
  <si>
    <t>Reserva legal</t>
  </si>
  <si>
    <t>Vida útil maquinaria industrial</t>
  </si>
  <si>
    <t>años</t>
  </si>
  <si>
    <t>Vida útil transporte</t>
  </si>
  <si>
    <t>Vida útil adecuaciones/construcción</t>
  </si>
  <si>
    <t>Vida útil cómputo/TI</t>
  </si>
  <si>
    <t>Factor utilización prensa</t>
  </si>
  <si>
    <t>Factor utilización banda/mesa clasificación</t>
  </si>
  <si>
    <t>Factor utilización báscula</t>
  </si>
  <si>
    <t>Factor utilización montacargas/patín</t>
  </si>
  <si>
    <t>Capacidad arranque Año 1</t>
  </si>
  <si>
    <t>Capacidad arranque Año 2</t>
  </si>
  <si>
    <t>Capacidad arranque Año 3+</t>
  </si>
  <si>
    <t>DSO (días cuentas por cobrar)</t>
  </si>
  <si>
    <t>DIO (días inventario)</t>
  </si>
  <si>
    <t>DPO (días cuentas por pagar)</t>
  </si>
  <si>
    <t>Precio carbono</t>
  </si>
  <si>
    <t>USD/tCO₂e</t>
  </si>
  <si>
    <t>Volumen RSU ciudad (Modelo Base)</t>
  </si>
  <si>
    <t>Ancla RSU = 725,76 t/día. Valor fijo (antes IMPORTRANGE). Fuente: Modelo_FINAL D43. Revisado 2026-04-12.</t>
  </si>
  <si>
    <t>Tarifa municipal por tonelada recibida</t>
  </si>
  <si>
    <t>MXN/ton</t>
  </si>
  <si>
    <t>Decisión de negocio: tarifa municipal = $0. No se cobra al municipio en modelo base. Revisado 2026-04-12.</t>
  </si>
  <si>
    <t>SUPUESTO CLAVE — Costo de adquisición materia prima</t>
  </si>
  <si>
    <t>Múltiplo valor terminal EBITDA</t>
  </si>
  <si>
    <t>Rango 4-6x</t>
  </si>
  <si>
    <t>Tasa interés deuda Pequeña</t>
  </si>
  <si>
    <t>% anual</t>
  </si>
  <si>
    <t>Tasa interés deuda Mediana</t>
  </si>
  <si>
    <t>Tasa interés deuda Grande</t>
  </si>
  <si>
    <t>Plazo deuda Pequeña</t>
  </si>
  <si>
    <t>Plazo deuda Mediana</t>
  </si>
  <si>
    <t>Plazo deuda Grande</t>
  </si>
  <si>
    <t>Estructura D/E Pequeña (% deuda)</t>
  </si>
  <si>
    <t>50/50</t>
  </si>
  <si>
    <t>Estructura D/E Mediana (% deuda)</t>
  </si>
  <si>
    <t>60/40</t>
  </si>
  <si>
    <t>Estructura D/E Grande (% deuda)</t>
  </si>
  <si>
    <t>70/30</t>
  </si>
  <si>
    <t>Salario operario (bruto/mes)</t>
  </si>
  <si>
    <t>MXN</t>
  </si>
  <si>
    <t>Salario supervisor (bruto/mes)</t>
  </si>
  <si>
    <t>Salario administrativo (bruto/mes)</t>
  </si>
  <si>
    <t>Salario chofer (bruto/mes)</t>
  </si>
  <si>
    <t>Personal Pequeña</t>
  </si>
  <si>
    <t>4 op + 1 sup</t>
  </si>
  <si>
    <t>personas</t>
  </si>
  <si>
    <t>Personal Mediana</t>
  </si>
  <si>
    <t>10 op + 2 sup + 1 adm + 1 chof</t>
  </si>
  <si>
    <t>Personal Grande</t>
  </si>
  <si>
    <t>25 op + 4 sup + 2 adm + 3 chof</t>
  </si>
  <si>
    <t>RSU total ZM SLP (ancla Modelo Base)</t>
  </si>
  <si>
    <t>t/día</t>
  </si>
  <si>
    <t>Ancla RSU. Fuente: Modelo_RSUSLP_vivienda_particular_v2-FINAL.xlsx, hoja Modelo, celda D42 = 725,76 t/dia. Actualizar trimestralmente.</t>
  </si>
  <si>
    <t>PRECIOS DE VENTA POR MATERIAL</t>
  </si>
  <si>
    <t>Precios de referencia marzo 2026. Sujetos a revisión trimestral con base en índices ANIPAC, CEMPRE México y cotizaciones directas de compradores ancla.</t>
  </si>
  <si>
    <t>PET</t>
  </si>
  <si>
    <t>HDPE</t>
  </si>
  <si>
    <t>PP</t>
  </si>
  <si>
    <t>Cartón OCC</t>
  </si>
  <si>
    <t>Papel archivo</t>
  </si>
  <si>
    <t>Vidrio mixto</t>
  </si>
  <si>
    <t>Aluminio botes</t>
  </si>
  <si>
    <t>Acero/hojalata</t>
  </si>
  <si>
    <t>Orgánicos/composta</t>
  </si>
  <si>
    <t>Otros reciclables</t>
  </si>
  <si>
    <t>Tarifa municipal (ingreso por recibir RSU)</t>
  </si>
  <si>
    <t>MXN/t</t>
  </si>
  <si>
    <t>Tarifa = $0. Decisión de negocio. Revisado 2026-04-12.</t>
  </si>
  <si>
    <t>BLOQUE B — CAPEX CON CONSUMOS ENERGÉTICOS</t>
  </si>
  <si>
    <t>Pequeña (200m² / 5t/día)</t>
  </si>
  <si>
    <t>Mediana (500m² / 15t/día)</t>
  </si>
  <si>
    <t>Grande (1500m² / 50t/día)</t>
  </si>
  <si>
    <t>Equipo</t>
  </si>
  <si>
    <t>Marca/Modelo</t>
  </si>
  <si>
    <t>Cant</t>
  </si>
  <si>
    <t>Precio unit MXN</t>
  </si>
  <si>
    <t>Total MXN</t>
  </si>
  <si>
    <t>Potencia kW</t>
  </si>
  <si>
    <t>Factor util%</t>
  </si>
  <si>
    <t>Horas efect/día</t>
  </si>
  <si>
    <t>Días/mes</t>
  </si>
  <si>
    <t>kWh/mes</t>
  </si>
  <si>
    <t>kWh×1.10/mes</t>
  </si>
  <si>
    <t>Costo energía MXN/mes</t>
  </si>
  <si>
    <t>URL ficha</t>
  </si>
  <si>
    <t>Prensa compactadora 15HP</t>
  </si>
  <si>
    <t>Genérica nacional</t>
  </si>
  <si>
    <t>Prensa Mil-tek H501</t>
  </si>
  <si>
    <t>Mil-tek</t>
  </si>
  <si>
    <t>Prensa horizontal embolsadora</t>
  </si>
  <si>
    <t>TEVA/Nacional</t>
  </si>
  <si>
    <t>Báscula plataforma 1,000kg</t>
  </si>
  <si>
    <t>Torrey PLP1000</t>
  </si>
  <si>
    <t>Prensa 15HP genérica</t>
  </si>
  <si>
    <t>Nacional</t>
  </si>
  <si>
    <t>Prensa Mil-tek H600</t>
  </si>
  <si>
    <t>Báscula plataforma 500kg</t>
  </si>
  <si>
    <t>Rhino BAPCA-500</t>
  </si>
  <si>
    <t>Báscula 3,000kg</t>
  </si>
  <si>
    <t>Torrey PLP3000</t>
  </si>
  <si>
    <t>Patín hidráulico 3 ton</t>
  </si>
  <si>
    <t>Genérico</t>
  </si>
  <si>
    <t>Báscula 500kg</t>
  </si>
  <si>
    <t>Báscula camionera 40 ton (renta anual)</t>
  </si>
  <si>
    <t>Contenedores 1100L (5 fracciones)</t>
  </si>
  <si>
    <t>Banda transportadora 8m</t>
  </si>
  <si>
    <t>Banda transportadora 15m</t>
  </si>
  <si>
    <t>Mesa clasificación manual 3m</t>
  </si>
  <si>
    <t>Fabricación local</t>
  </si>
  <si>
    <t>Montacargas Toyota 8FGU25</t>
  </si>
  <si>
    <t>Toyota/Hangcha</t>
  </si>
  <si>
    <t>Montacargas HELI CPQD25</t>
  </si>
  <si>
    <t>HELI</t>
  </si>
  <si>
    <t>Herramienta menor</t>
  </si>
  <si>
    <t>Varios</t>
  </si>
  <si>
    <t>Contenedores 1100L</t>
  </si>
  <si>
    <t>Mesa clasificación 5m</t>
  </si>
  <si>
    <t>Tolvas de recepción</t>
  </si>
  <si>
    <t>TOTAL</t>
  </si>
  <si>
    <t>BLOQUE C — CAPEX TOTAL POR ESCALA</t>
  </si>
  <si>
    <t>Concepto</t>
  </si>
  <si>
    <t>Pequeña MXN</t>
  </si>
  <si>
    <t>Mediana MXN</t>
  </si>
  <si>
    <t>Grande MXN</t>
  </si>
  <si>
    <t>Equipamiento</t>
  </si>
  <si>
    <t>Adecuación de nave</t>
  </si>
  <si>
    <t>Gastos preoperativos</t>
  </si>
  <si>
    <t>Capital de trabajo inicial (2 meses OPEX)</t>
  </si>
  <si>
    <t>CAPEX TOTAL</t>
  </si>
  <si>
    <t>Inversión por t/día procesada</t>
  </si>
  <si>
    <t>BLOQUE D — OPEX MENSUAL POR ESCALA</t>
  </si>
  <si>
    <t>Pequeña MXN/mes</t>
  </si>
  <si>
    <t>Mediana MXN/mes</t>
  </si>
  <si>
    <t>Grande MXN/mes</t>
  </si>
  <si>
    <t>Renta</t>
  </si>
  <si>
    <t>Energía eléctrica</t>
  </si>
  <si>
    <t>Combustible montacargas (gas LP)</t>
  </si>
  <si>
    <t>Nómina con prestaciones</t>
  </si>
  <si>
    <t>Transporte/combustible salida</t>
  </si>
  <si>
    <t>Mantenimiento equipo (2.5% CAPEX/12)</t>
  </si>
  <si>
    <t>Insumos (bolsas, amarres, flejes)</t>
  </si>
  <si>
    <t>Agua y servicios</t>
  </si>
  <si>
    <t>Seguros (0.5% CAPEX fijo / 12)</t>
  </si>
  <si>
    <t>TOTAL OPEX MENSUAL</t>
  </si>
  <si>
    <t>BLOQUE E — INGRESOS MENSUALES POR ESCALA</t>
  </si>
  <si>
    <t>Ingresos Pequeña</t>
  </si>
  <si>
    <t>Ingresos Mediana</t>
  </si>
  <si>
    <t>Ingresos Grande</t>
  </si>
  <si>
    <t>Material</t>
  </si>
  <si>
    <t>kg/día</t>
  </si>
  <si>
    <t>kg/mes</t>
  </si>
  <si>
    <t>Precio MXN/kg</t>
  </si>
  <si>
    <t>Ingreso mensual MXN</t>
  </si>
  <si>
    <t>Cartón/papel</t>
  </si>
  <si>
    <t>Vidrio</t>
  </si>
  <si>
    <t>Aluminio</t>
  </si>
  <si>
    <t>Orgánicos</t>
  </si>
  <si>
    <t>Tarifa municipal</t>
  </si>
  <si>
    <t>TOTAL BRUTO</t>
  </si>
  <si>
    <t>Merma</t>
  </si>
  <si>
    <t>INGRESO NETO MENSUAL</t>
  </si>
  <si>
    <t>BLOQUE F — ESTADO DE RESULTADOS P&amp;L (Año 1 a Año 10)</t>
  </si>
  <si>
    <t>P&amp;L — Pequeña</t>
  </si>
  <si>
    <t>Año 1</t>
  </si>
  <si>
    <t>Año 2</t>
  </si>
  <si>
    <t>Año 3</t>
  </si>
  <si>
    <t>Año 4</t>
  </si>
  <si>
    <t>Año 5</t>
  </si>
  <si>
    <t>Año 6</t>
  </si>
  <si>
    <t>Año 7</t>
  </si>
  <si>
    <t>Año 8</t>
  </si>
  <si>
    <t>Año 9</t>
  </si>
  <si>
    <t>Año 10</t>
  </si>
  <si>
    <t>Ingresos brutos (venta materiales)</t>
  </si>
  <si>
    <t>(–) Merma 10%</t>
  </si>
  <si>
    <t>Ingresos netos</t>
  </si>
  <si>
    <t>(–) OPEX total</t>
  </si>
  <si>
    <t>EBITDA</t>
  </si>
  <si>
    <t>Margen EBITDA %</t>
  </si>
  <si>
    <t>(–) Depreciación y amortización</t>
  </si>
  <si>
    <t>EBIT</t>
  </si>
  <si>
    <t>(–) Intereses</t>
  </si>
  <si>
    <t>EBT</t>
  </si>
  <si>
    <t>(–) ISR 30%</t>
  </si>
  <si>
    <t>(–) PTU 10%</t>
  </si>
  <si>
    <t>Utilidad neta</t>
  </si>
  <si>
    <t>(–) Reserva legal 5%</t>
  </si>
  <si>
    <t>Utilidad distribuible</t>
  </si>
  <si>
    <t>P&amp;L — Mediana</t>
  </si>
  <si>
    <t>P&amp;L — Grande</t>
  </si>
  <si>
    <t>BLOQUE G — DEPRECIACIÓN Y AMORTIZACIÓN</t>
  </si>
  <si>
    <t>Depreciación — Pequeña</t>
  </si>
  <si>
    <t>Activo</t>
  </si>
  <si>
    <t>Valor CAPEX</t>
  </si>
  <si>
    <t>Vida útil</t>
  </si>
  <si>
    <t>Dep Año 1</t>
  </si>
  <si>
    <t>Dep Año 2</t>
  </si>
  <si>
    <t>Dep Año 3</t>
  </si>
  <si>
    <t>Dep Año 4</t>
  </si>
  <si>
    <t>Dep Año 5</t>
  </si>
  <si>
    <t>Dep Año 6</t>
  </si>
  <si>
    <t>Dep Año 7</t>
  </si>
  <si>
    <t>Dep Año 8</t>
  </si>
  <si>
    <t>Dep Año 9</t>
  </si>
  <si>
    <t>Dep Año 10</t>
  </si>
  <si>
    <t>Equipamiento (maquinaria)</t>
  </si>
  <si>
    <t>TOTAL DEPRECIACIÓN ANUAL</t>
  </si>
  <si>
    <t>Depreciación — Mediana</t>
  </si>
  <si>
    <t>Depreciación — Grande</t>
  </si>
  <si>
    <t>BLOQUE H — TABLA DE DEUDA (Año 0 a Año 10)</t>
  </si>
  <si>
    <t>Deuda — Pequeña</t>
  </si>
  <si>
    <t>Monto deuda</t>
  </si>
  <si>
    <t>Tasa anual</t>
  </si>
  <si>
    <t>Plazo (años)</t>
  </si>
  <si>
    <t>Año 0</t>
  </si>
  <si>
    <t>Saldo inicial</t>
  </si>
  <si>
    <t>Disposición</t>
  </si>
  <si>
    <t>Amortización capital</t>
  </si>
  <si>
    <t>Intereses devengados</t>
  </si>
  <si>
    <t>Servicio deuda total</t>
  </si>
  <si>
    <t>Saldo final</t>
  </si>
  <si>
    <t>DSCR</t>
  </si>
  <si>
    <t>-</t>
  </si>
  <si>
    <t>Deuda — Mediana</t>
  </si>
  <si>
    <t>Deuda — Grande</t>
  </si>
  <si>
    <t>BLOQUE I — FLUJO DE CAJA LIBRE FCF (Año 0 a Año 10)</t>
  </si>
  <si>
    <t>FCF — Pequeña</t>
  </si>
  <si>
    <t>(–) CAPEX inicial</t>
  </si>
  <si>
    <t>(–) CAPEX reposición</t>
  </si>
  <si>
    <t>(–) Variación capital de trabajo</t>
  </si>
  <si>
    <t>(–) Servicio de deuda</t>
  </si>
  <si>
    <t>FCF disponible</t>
  </si>
  <si>
    <t>FCF acumulado</t>
  </si>
  <si>
    <t>FCF — Mediana</t>
  </si>
  <si>
    <t>FCF — Grande</t>
  </si>
  <si>
    <t>BLOQUE J — BALANCE GENERAL SIMPLIFICADO</t>
  </si>
  <si>
    <t>Balance — Pequeña</t>
  </si>
  <si>
    <t>ACTIVOS</t>
  </si>
  <si>
    <t>Activos fijos netos</t>
  </si>
  <si>
    <t>Capital de trabajo neto</t>
  </si>
  <si>
    <t>Total activos</t>
  </si>
  <si>
    <t>PASIVOS Y CAPITAL</t>
  </si>
  <si>
    <t>Deuda vigente</t>
  </si>
  <si>
    <t>Capital contable</t>
  </si>
  <si>
    <t>Total pasivo + capital</t>
  </si>
  <si>
    <t>Verificación (Activos = P+C)</t>
  </si>
  <si>
    <t>Balance — Mediana</t>
  </si>
  <si>
    <t>Balance — Grande</t>
  </si>
  <si>
    <t>BLOQUE K — INDICADORES CONSOLIDADOS</t>
  </si>
  <si>
    <t>Indicador</t>
  </si>
  <si>
    <t>Pequeña</t>
  </si>
  <si>
    <t>Mediana</t>
  </si>
  <si>
    <t>Grande</t>
  </si>
  <si>
    <t>TIR proyecto</t>
  </si>
  <si>
    <t>TIR equity</t>
  </si>
  <si>
    <t>VPN a WACC</t>
  </si>
  <si>
    <t>Payback simple (meses)</t>
  </si>
  <si>
    <t>Payback descontado (meses)</t>
  </si>
  <si>
    <t>MOIC</t>
  </si>
  <si>
    <t>DSCR mínimo</t>
  </si>
  <si>
    <t>Break-even kg/día</t>
  </si>
  <si>
    <t>Margen seguridad OPEX</t>
  </si>
  <si>
    <t>Valor terminal Año 10</t>
  </si>
  <si>
    <t>BLOQUE L — ANÁLISIS DE SENSIBILIDAD EXPANDIDO</t>
  </si>
  <si>
    <t>Tabla 1: Variación de precios → Margen mensual</t>
  </si>
  <si>
    <t>Escenario</t>
  </si>
  <si>
    <t>Precios -20%</t>
  </si>
  <si>
    <t>Precios -10%</t>
  </si>
  <si>
    <t>Precios Base</t>
  </si>
  <si>
    <t>Precios +10%</t>
  </si>
  <si>
    <t>Precios +20%</t>
  </si>
  <si>
    <t>Tabla 2: Sensibilidad cruzada — EBITDA mensual (Captura × Precios)</t>
  </si>
  <si>
    <t>EBITDA mensual — Pequeña</t>
  </si>
  <si>
    <t>Precios \ Captura</t>
  </si>
  <si>
    <t>30%</t>
  </si>
  <si>
    <t>50%</t>
  </si>
  <si>
    <t>70%</t>
  </si>
  <si>
    <t>90%</t>
  </si>
  <si>
    <t>EBITDA mensual — Mediana</t>
  </si>
  <si>
    <t>EBITDA mensual — Grande</t>
  </si>
  <si>
    <t>Tabla 3: Sensibilidad a tasa de captura (para Resumen Ejecutivo)</t>
  </si>
  <si>
    <t>Ingreso mensual</t>
  </si>
  <si>
    <t>EBITDA mensual</t>
  </si>
  <si>
    <t>Meses a break-even</t>
  </si>
  <si>
    <t>Generado: 2026-03-26 21:13</t>
  </si>
  <si>
    <t>BLOQUE K — CRONOGRAMA FINANCIERO DE IMPLEMENTACIÓN POR FASES (Integrado con Modelo IEC)</t>
  </si>
  <si>
    <t>Fase</t>
  </si>
  <si>
    <t>Arreglo</t>
  </si>
  <si>
    <t>CA Peq</t>
  </si>
  <si>
    <t>CA Med</t>
  </si>
  <si>
    <t>CA Grd</t>
  </si>
  <si>
    <t>Total CAs</t>
  </si>
  <si>
    <t>% Captacion RSU</t>
  </si>
  <si>
    <t>Capacidad t/d</t>
  </si>
  <si>
    <t>CAPEX total MXN</t>
  </si>
  <si>
    <t>CAPEX incremental MXN</t>
  </si>
  <si>
    <t>OPEX/mes MXN</t>
  </si>
  <si>
    <t>Ingreso/mes Yr3 MXN</t>
  </si>
  <si>
    <t>EBITDA/mes MXN</t>
  </si>
  <si>
    <t>Margen EBITDA</t>
  </si>
  <si>
    <t>IEC</t>
  </si>
  <si>
    <t>Ranking</t>
  </si>
  <si>
    <t>Senal IEMPI</t>
  </si>
  <si>
    <t>1 - Piloto</t>
  </si>
  <si>
    <t>3P+0M+0G</t>
  </si>
  <si>
    <t>56.4%</t>
  </si>
  <si>
    <t>Arranque</t>
  </si>
  <si>
    <t>2 - Arranque</t>
  </si>
  <si>
    <t>5P+1M+0G</t>
  </si>
  <si>
    <t>61.9%</t>
  </si>
  <si>
    <t>2.53</t>
  </si>
  <si>
    <t>Bueno</t>
  </si>
  <si>
    <t>3 - Expansion</t>
  </si>
  <si>
    <t>5P+3M+0G</t>
  </si>
  <si>
    <t>54.7%</t>
  </si>
  <si>
    <t>3.61</t>
  </si>
  <si>
    <t>4 - Consolidacion</t>
  </si>
  <si>
    <t>8P+4M+1G</t>
  </si>
  <si>
    <t>63.5%</t>
  </si>
  <si>
    <t>3.99</t>
  </si>
  <si>
    <t>Medio</t>
  </si>
  <si>
    <t>5 - Madurez OPTIMO</t>
  </si>
  <si>
    <t>10P+6M+2G</t>
  </si>
  <si>
    <t>64.6%</t>
  </si>
  <si>
    <t>6.49</t>
  </si>
  <si>
    <t>IEMPI MAXIMO</t>
  </si>
  <si>
    <t>6 - Sist. completo</t>
  </si>
  <si>
    <t>20P+8M+3G</t>
  </si>
  <si>
    <t>67.2%</t>
  </si>
  <si>
    <t>6.79</t>
  </si>
  <si>
    <t>Marginal</t>
  </si>
  <si>
    <t>K2 - CRONOGRAMA DE INVERSION Y FLUJO POR FASE (Timing recomendado por modelo IEMPI)</t>
  </si>
  <si>
    <t>Ano inicio</t>
  </si>
  <si>
    <t>Mes inicio</t>
  </si>
  <si>
    <t>Duracion meses</t>
  </si>
  <si>
    <t>Ano fin</t>
  </si>
  <si>
    <t>Mes fin</t>
  </si>
  <si>
    <t>CAPEX acumulado MXN</t>
  </si>
  <si>
    <t>OPEX mensual MXN</t>
  </si>
  <si>
    <t>EBITDA mensual MXN</t>
  </si>
  <si>
    <t>Flujo neto mes 1 fase MXN</t>
  </si>
  <si>
    <t>Payback fase meses</t>
  </si>
  <si>
    <t>Decision basada en</t>
  </si>
  <si>
    <t>IEC 2.08 - Validar modelo operativo. Desplegar 3 centros pequenos en zonas piloto con mayor generacion RSU.</t>
  </si>
  <si>
    <t>IEC 2.53 - Primer salto de escala. Agregar 2P+1M. EBITDA/mes sube a 1.4M MXN. Umbral de viabilidad operativa.</t>
  </si>
  <si>
    <t>IEC 3.61 - Consolidar presencia territorial con 3 medianas. EBITDA crece 29% vs Fase 2.</t>
  </si>
  <si>
    <t>IEC 3.99 - Primera grande. Masa critica para negociacion con recicladoras. EBITDA/mes sube a 5.9M MXN.</t>
  </si>
  <si>
    <t>IEC 6.49 - PUNTO DE RUPTURA. Mejor ratio IEMPI. EBITDA/mes 10.3M MXN. Escala optima segun modelo.</t>
  </si>
  <si>
    <t>IEC 6.79 - Sistema completo. EBITDA/mes 24.9M MXN. Marginal vs Fase 5 en IEMPI. Solo si financiamiento disponible.</t>
  </si>
  <si>
    <t>K3 - NOTA METODOLOGICA — MODELO IEMPI (Indice de Eficiencia Marginal de la Proxima Inversion)</t>
  </si>
  <si>
    <t>El cronograma K2 esta basado en el modelo de optimizacion IEMPI definido en la hoja Modelo Optimizacion.</t>
  </si>
  <si>
    <t>Formula IEMPI = (Delta EBITDA mensual / Delta CAPEX) x 1000 = EBITDA adicional por cada 1,000 MXN invertidos.</t>
  </si>
  <si>
    <t>Criterio de decision: escalar a la siguiente fase SOLO cuando IEMPI &gt; 0.30.</t>
  </si>
  <si>
    <t>Punto optimo identificado: Fase 5 (Madurez) con IEMPI maximo de 6.49.</t>
  </si>
  <si>
    <t>La Fase 6 es marginal (IEMPI 6.79 vs 6.49) y solo se activa si el mercado de RSU lo demanda o existe co-financiamiento publico.</t>
  </si>
  <si>
    <t>El modelo integra tres dimensiones: (1) Eficiencia de capital CAPEX/t/d, (2) Margen EBITDA por escala, (3) Velocidad de retorno por fase.</t>
  </si>
  <si>
    <t>Resultado: el arreglo 10P+6M+2G es el optimo bajo cualquier escenario de tasa de captura entre 50% y 90%.</t>
  </si>
  <si>
    <t>K3 - RESUMEN EJECUTIVO DE INVERSION TOTAL</t>
  </si>
  <si>
    <t>Arreglo optimo</t>
  </si>
  <si>
    <t>Total centros de acopio</t>
  </si>
  <si>
    <t>Capacidad de captacion RSU</t>
  </si>
  <si>
    <t>50% (230 t/d)</t>
  </si>
  <si>
    <t>100% (370 t/d)</t>
  </si>
  <si>
    <t>CAPEX total acumulado MXN</t>
  </si>
  <si>
    <t>35,520,970</t>
  </si>
  <si>
    <t>71,853,393</t>
  </si>
  <si>
    <t>5,662,096</t>
  </si>
  <si>
    <t>12,178,252</t>
  </si>
  <si>
    <t>Ingreso mensual Yr3 MXN</t>
  </si>
  <si>
    <t>16,011,364</t>
  </si>
  <si>
    <t>37,095,634</t>
  </si>
  <si>
    <t>10,349,268</t>
  </si>
  <si>
    <t>24,917,382</t>
  </si>
  <si>
    <t>IEC del arreglo</t>
  </si>
  <si>
    <t>Ranking IEC</t>
  </si>
  <si>
    <t>2 (IEMPI maximo)</t>
  </si>
  <si>
    <t>1 (Marginal)</t>
  </si>
  <si>
    <t>Derrama economica anual MXN</t>
  </si>
  <si>
    <t>124,191,216</t>
  </si>
  <si>
    <t>298,908,984</t>
  </si>
  <si>
    <t>Empleos directos generados</t>
  </si>
  <si>
    <t>~134 personas</t>
  </si>
  <si>
    <t>~289 personas</t>
  </si>
  <si>
    <t>Toneladas anuales procesadas</t>
  </si>
  <si>
    <t>69,000 t</t>
  </si>
  <si>
    <t>111,000 t</t>
  </si>
  <si>
    <t>Anio de alcance estimado</t>
  </si>
  <si>
    <t>Ano 8</t>
  </si>
  <si>
    <t>Ano 11</t>
  </si>
  <si>
    <t>Bloque K generado: 2026-03-26</t>
  </si>
  <si>
    <t>Version: v1.0</t>
  </si>
  <si>
    <t>Modelo base: IEMPI - Cronograma Financiero Integrado</t>
  </si>
  <si>
    <t>RESUMEN EJECUTIVO — CENTROS DE ACOPIO SAN LUIS POTOSÍ</t>
  </si>
  <si>
    <t>Modelo financiero CFO — Tres escalas</t>
  </si>
  <si>
    <t>INVERSIÓN</t>
  </si>
  <si>
    <t>CAPEX total</t>
  </si>
  <si>
    <t>Capital de trabajo inicial</t>
  </si>
  <si>
    <t>Inversión total requerida</t>
  </si>
  <si>
    <t>Estructura D/E</t>
  </si>
  <si>
    <t>Capital propio franquiciatario</t>
  </si>
  <si>
    <t>RENTABILIDAD</t>
  </si>
  <si>
    <t>Ingreso mensual Año 1 (50% captura)</t>
  </si>
  <si>
    <t>Ingreso mensual Año 3 (100% captura)</t>
  </si>
  <si>
    <t>EBITDA Año 3</t>
  </si>
  <si>
    <t>Margen EBITDA Año 3 (%)</t>
  </si>
  <si>
    <t>VPN a WACC (20%)</t>
  </si>
  <si>
    <t>TIR del proyecto</t>
  </si>
  <si>
    <t>TIR del equity</t>
  </si>
  <si>
    <t>RIESGO</t>
  </si>
  <si>
    <t>DSCR mínimo Año 1</t>
  </si>
  <si>
    <t>Margen de seguridad sobre OPEX fijo</t>
  </si>
  <si>
    <t>Ingreso al 50% de captura</t>
  </si>
  <si>
    <t>SENSIBILIDAD A TASA DE CAPTURA</t>
  </si>
  <si>
    <t>Generado: 2026-03-26 | Modelo CFO Centros de Acopio SLP</t>
  </si>
  <si>
    <t>DIMENSIONAMIENTO DEL SISTEMA — UNIDADES REQUERIDAS</t>
  </si>
  <si>
    <t>Volumen RSU ciudad (del Modelo Base)</t>
  </si>
  <si>
    <t>725.76 t/día</t>
  </si>
  <si>
    <t>% reciclables recuperables</t>
  </si>
  <si>
    <t>45.5%</t>
  </si>
  <si>
    <t>Volumen reciclable disponible</t>
  </si>
  <si>
    <t>~330 t/día</t>
  </si>
  <si>
    <t>% captura objetivo</t>
  </si>
  <si>
    <t>Volumen a capturar</t>
  </si>
  <si>
    <t>~297 t/día</t>
  </si>
  <si>
    <t>UNIDADES REQUERIDAS POR ESCALA</t>
  </si>
  <si>
    <t>Escala</t>
  </si>
  <si>
    <t>Capacidad unitaria</t>
  </si>
  <si>
    <t>Unidades</t>
  </si>
  <si>
    <t>Capacidad total</t>
  </si>
  <si>
    <t>5 t/día</t>
  </si>
  <si>
    <t>100 t/día</t>
  </si>
  <si>
    <t>15 t/día</t>
  </si>
  <si>
    <t>120 t/día</t>
  </si>
  <si>
    <t>50 t/día</t>
  </si>
  <si>
    <t>150 t/día</t>
  </si>
  <si>
    <t>TOTAL SISTEMA</t>
  </si>
  <si>
    <t>31 unidades</t>
  </si>
  <si>
    <t>370 t/día</t>
  </si>
  <si>
    <t>Holgura operacional</t>
  </si>
  <si>
    <t>24% sobre 297 t/día</t>
  </si>
  <si>
    <t>INVERSIÓN Y EMPLEO DEL SISTEMA COMPLETO</t>
  </si>
  <si>
    <t>CAPEX total sistema</t>
  </si>
  <si>
    <t>OPEX anual sistema</t>
  </si>
  <si>
    <t>Empleos generados</t>
  </si>
  <si>
    <t>Ingreso anual sistema</t>
  </si>
  <si>
    <t>TABLA 1 — INVERSIÓN POR ESCALA</t>
  </si>
  <si>
    <t>TABLA 2 — OPEX MENSUAL POR ESCALA</t>
  </si>
  <si>
    <t>OPEX mensual total</t>
  </si>
  <si>
    <t>TABLA 3 — RENTABILIDAD POR ESCALA</t>
  </si>
  <si>
    <t>109.5%</t>
  </si>
  <si>
    <t>155.6%</t>
  </si>
  <si>
    <t>212.0%</t>
  </si>
  <si>
    <t>7.0</t>
  </si>
  <si>
    <t>TABLA 4 — INGRESOS POR FRACCIÓN DE MATERIAL (Escala Mediana, Año 3 / 100% captura)</t>
  </si>
  <si>
    <t>Fracción</t>
  </si>
  <si>
    <t>Ingreso mensual (MXN)</t>
  </si>
  <si>
    <t>Papel/Cartón (OCC)</t>
  </si>
  <si>
    <t>el</t>
  </si>
  <si>
    <t>TABLA 5 — DIMENSIONAMIENTO DEL SISTEMA</t>
  </si>
  <si>
    <t>MODELO DE OPTIMIZACIÓN MULTICRITERIO — ARREGLO ÓPTIMO DE CENTROS DE ACOPIO | SAN LUIS POTOSÍ
SECCIÓN 1 — PARÁMETROS BASE POR UNIDAD (Ingreso año 3 / 100% captura)
Escala        Capacidad        CAPEX unitario (MXN)        OPEX / mes (MXN)        Ingreso / mes Yr3 (MXN)        EBITDA / mes (MXN)        Margen EBITDA        VPN unitario (MXN)        TIR proyecto        Payback (meses)        VPN / CAPEX ratio
Pequeña (P)        5 t/día        726,476        110,838        254,389        143,551        56.4%        4,932,233        109.5%        14.4        6.79x
Mediana (M)        15 t/día        2,528,808        320,354        1,023,638        703,284        68.7%        25,933,373        155.6%        10.1        10.26x
Grande (G)        50 t/día        7,131,655        787,328        3,496,500        2,709,172        77.5%        104,318,307        212.0%        7.0        14.63x
SECCIÓN 2 — INDICADORES AGREGADOS POR FASE DE ESCALAMIENTO
Fase        Arreglo        CA Peq         CA Med        CA Gra        Total CAs        Capacidad t/d        CAPEX total (MXN)        OPEX / mes total (MXN)        Ingreso / mes Yr3 (MXN)        EBITDA / mes (MXN)        VPN total (MXN)        Ratio EBITDA/CAPEX        Ratio OPEX/Ingreso
1 — Piloto        3P+0M+0G        3        0        0        3        15        2,179,428        332,514        763,167        430,653        14,796,699        0.1977        0.4358
2 — Arranque        5P+1M+0G        5        1        0        6        40        6,161,188        874,544        2,295,583        1,421,039        50,596,538        0.2306        0.3810
3 — Expansión        5P+3M+0G        5        3        0        8        70        11,224,804        1,515,676        3,342,759        1,827,083        124,405,864        0.1628        0.4535
4 — Consolidación        8P+4M+1G        8        4        1        13        130        22,006,167        3,398,300        9,319,810        5,921,510        286,186,055        0.2691        0.3647
5 — Madurez ★        10P+6M+2G        10        6        2        18        230        35,520,970        5,662,096        16,011,364        10,349,268        756,663,673        0.2913        0.3537
6 — Sist. completo        20P+8M+3G        20        8        3        31        370        71,853,393        12,178,252        37,095,634        24,917,382        1,598,037,631        0.3468        0.3283
SECCIÓN 3 — MODELO IEC (función objetivo multicriterio)
IEC = 0.35×(EBITDA/CAPEX) + 0.25×(1/Payback) + 0.30×(VPN/CAPEX) − 0.10×(OPEX/Ingreso)
Fase        α·EBITDA/CAPEX  (w=0.35)        β·1/Payback  (w=0.25)        γ·VPN/CAPEX  (w=0.30)        −δ·OPEX/Ingreso  (w=0.10)        IEC TOTAL        Ranking
1 — Piloto        0.0692        0.0174        2.0370        -0.0436        2.0800        6º
2 — Arranque        0.0807        0.0208        2.4695        -0.0381        2.5329        5º
3 — Expansión        0.0570        0.0217        3.3277        -0.0454        3.3610        4º
4 — Consolidación        0.0942        0.0294        3.9070        -0.0365        3.9941        3º
5 — Madurez ★        0.1019        0.0321        6.3919        -0.0354        6.4905        2º
6 — Sist. completo        0.1214        0.0357        6.6680        -0.0328        6.7923        1º
SECCIÓN 4 — MODELO IEMPI (eficiencia marginal por peso invertido)
IEMPI = ΔIEC / ΔCAPEX
Transición entre fases        ΔCAPEX (MXN)        ΔIEC        IEMPI (×10⁻⁶ / MXN)        Señal
1 → 2        3,981,760        0.4529        0.1137        Bueno
2 → 3        5,063,616        0.8281        0.1635        Bueno
3 → 4        10,781,363        0.6331        0.0587        Medio
4 → 5  ★ ÓPTIMO        13,514,803        2.4964        0.1847        ► IEMPI MÁXIMO
5 → 6        36,332,423        0.3018        0.0083        Marginal
SECCIÓN 5 — RESULTADO DEL MODELO
Indicador        Valor        Unidad / Nota
Arreglo óptimo        10P + 6M + 2G        Fase 5 — Madurez
Total centros de acopio        18        unidades
Capacidad instalada        230        t/día = 31.7% del RSU total SLP
CAPEX total requerido        $35,520,970        MXN
OPEX mensual total        $5,662,096        MXN / mes
Ingreso mensual (Yr3)        $16,011,364        MXN / mes
EBITDA mensual        $10,349,268        MXN / mes = margen 64.6%
VPN del sistema        $756,663,673        MXN a WACC 20%
IEC del arreglo        6.4905        95.6% del máximo teórico posible
IEMPI del salto óptimo        0.1847        Valor más alto de toda la escalera
Recicladoras activas        4        Orgánicos + PET + Vidrio + Aluminio
CAPEX recicladoras (Fase A)	$12,783,523	MXN (Orgánicos + PET + Vidrio + Aluminio)
CAPEX total sistema integrado	$48,304,493	MXN (CAs Fase 5 + Recicladoras Fase A)</t>
  </si>
  <si>
    <t>NOTA METODOLÓGICA — MODELO DE OPTIMIZACIÓN MULTICRITERIO
OBJETIVO
Determinar el arreglo óptimo de centros de acopio (CAs) para el sistema de valorización de residuos sólidos en la Zona Metropolitana de San Luis Potosí, maximizando simultáneamente el retorno sobre la inversión, la eficiencia operativa y la derrama económica, sujeto a restricciones de capital y escala.
MODELO 1 — IEC: ÍNDICE DE EFICIENCIA COMPUESTO
Se construyó una función objetivo de programación por metas (goal programming) con 4 componentes ponderados:
alfa (0.35): Rentabilidad operativa → EBITDA/CAPEX. Mide cuánto genera el sistema por cada peso invertido en activos fijos y capital de trabajo. Ponderación mayor porque es el indicador de viabilidad operativa básica.
beta (0.25): Velocidad de recuperación → 1/Payback. Inversamente proporcional al tiempo de retorno. Refleja liquidez del inversionista y gestión de riesgo temporal.
gamma (0.30): Creación de valor → VPN/CAPEX. Relaciona el valor presente neto del proyecto con la inversión inicial. Alta ponderación porque captura el impacto de largo plazo sobre la derrama económica regional.
delta negativo (0.10): Eficiencia operativa → -OPEX/Ingreso. Penaliza arreglos donde los costos operativos consumen una proporción alta de los ingresos. Ponderación menor porque ya está parcialmente capturada en el margen EBITDA.
El IEC crece monótonamente de la Fase 1 a la Fase 6, lo que indica que el sistema completo siempre domina en eficiencia absoluta. Sin embargo, esto por sí solo no responde la pregunta real del inversionista: en qué punto el costo incremental de escalar deja de justificarse.
MODELO 2 — IEMPI: EFICIENCIA MARGINAL POR PESO INVERTIDO
Para resolver la pregunta de escala óptima se aplicó un segundo modelo de análisis incremental (análisis marginal de costo-beneficio), calculando para cada transición entre fases:
IEMPI = delta-IEC / delta-CAPEX
Este indicador mide cuántos puntos de eficiencia compuesta (IEC) se ganan por cada peso adicional de inversión. Es el equivalente financiero a la segunda derivada de la función de utilidad: el punto donde la pendiente de retorno comienza a decrecer define el óptimo.
RESULTADO Y JUSTIFICACIÓN
El IEMPI máximo (0.1847) se produce en la transición de la Fase 4 a la Fase 5, es decir, al pasar de 13 a 18 centros de acopio agregando 2 pequeños, 2 medianos y 1 grande. Esto identifica la Fase 5 (Madurez) como el arreglo óptimo:
10 Centros Pequeños (5 t/d) + 6 Centros Medianos (15 t/d) + 2 Centros Grandes (50 t/d) = 18 CAs / 230 t/d
A partir de este punto, la Fase 6 requiere $36.3 M MXN adicionales de CAPEX para ganar solo 0.30 puntos de IEC, un IEMPI de apenas 0.0083, es decir, 22 veces menos eficiente por peso invertido que el salto óptimo 4-a-5. Escalar al sistema completo no está justificado matemáticamente salvo que exista un mandato regulatorio o subsidio público que cambie la estructura de costos.
DERRAMA ECONÓMICA
El arreglo óptimo de la Fase 5 genera $756.6 M MXN de VPN del sistema, crea empleo directo para aproximadamente 168 personas (10.7 por unidad promedio) y procesa 230 t/d de material reciclable, desviando del relleno sanitario el equivalente a 84,000 t/año de RSU. Activa 4 recicladoras industriales (orgánicos, PET, vidrio y aluminio), multiplicando la cadena de valor local.
FUENTES DE LOS PARÁMETROS
Todos los datos base (CAPEX, OPEX, ingresos, TIR, VPN) provienen del Modelo_CAPEX_OPEX_Centros_Acopio_v2, hoja Modelo CFO, Bloques A-K. Precios de venta actualizados a marzo 2026 (ANIPAC / CEMPRE México). RSU ancla: 725.76 t/día (Modelo_RSUSLP_vivienda_particular_v2-FINAL, celda D42). WACC: 20%.</t>
  </si>
  <si>
    <t>CAs</t>
  </si>
  <si>
    <t>Cap. t/d</t>
  </si>
  <si>
    <t>EBITDA/mes</t>
  </si>
  <si>
    <t>1-Piloto</t>
  </si>
  <si>
    <t>$2.18 M</t>
  </si>
  <si>
    <t>$430K</t>
  </si>
  <si>
    <t>2-Arranque</t>
  </si>
  <si>
    <t>$6.16 M</t>
  </si>
  <si>
    <t>$1.42 M</t>
  </si>
  <si>
    <t>3-Expansión</t>
  </si>
  <si>
    <t>$11.22 M</t>
  </si>
  <si>
    <t>$1.83 M</t>
  </si>
  <si>
    <t>4-Consolidación</t>
  </si>
  <si>
    <t>$22.0 M</t>
  </si>
  <si>
    <t>$5.92 M</t>
  </si>
  <si>
    <t>5-Madurez ★ ÓPTIMO</t>
  </si>
  <si>
    <t>$35.5 M</t>
  </si>
  <si>
    <t>$10.35 M</t>
  </si>
  <si>
    <t>6-Sist. completo</t>
  </si>
  <si>
    <t>$71.9 M</t>
  </si>
  <si>
    <t>$24.9 M</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</si>
</sst>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
    <numFmt numFmtId="165" formatCode="0.0"/>
    <numFmt numFmtId="166" formatCode="\$#,##0"/>
    <numFmt numFmtId="167" formatCode="#,##0.0"/>
    <numFmt numFmtId="168" formatCode="\$#,##0.00"/>
    <numFmt numFmtId="169" formatCode="0.00\x;\(0.00&quot;x)&quot;;\-"/>
    <numFmt numFmtId="170" formatCode="0.0\x"/>
    <numFmt numFmtId="171" formatCode="0.00\x"/>
    <numFmt numFmtId="172" formatCode="dd.mm"/>
    <numFmt numFmtId="173" formatCode="d.m"/>
  </numFmts>
  <fonts count="20">
    <font>
      <sz val="11.0"/>
      <color theme="1"/>
      <name val="Calibri"/>
      <scheme val="minor"/>
    </font>
    <font>
      <sz val="11.0"/>
      <color theme="1"/>
      <name val="Calibri"/>
    </font>
    <font>
      <b/>
      <sz val="12.0"/>
      <color rgb="FFFFFFFF"/>
      <name val="Calibri"/>
    </font>
    <font/>
    <font>
      <b/>
      <sz val="11.0"/>
      <color rgb="FFFFFFFF"/>
      <name val="Calibri"/>
    </font>
    <font>
      <sz val="10.0"/>
      <color rgb="FF000000"/>
      <name val="Calibri"/>
    </font>
    <font>
      <sz val="10.0"/>
      <color rgb="FF0000FF"/>
      <name val="Calibri"/>
    </font>
    <font>
      <i/>
      <sz val="9.0"/>
      <color rgb="FF666666"/>
      <name val="Calibri"/>
    </font>
    <font>
      <b/>
      <sz val="10.0"/>
      <color rgb="FF000000"/>
      <name val="Calibri"/>
    </font>
    <font>
      <b/>
      <sz val="10.0"/>
      <color rgb="FFFFFFFF"/>
      <name val="Calibri"/>
    </font>
    <font>
      <sz val="10.0"/>
      <color rgb="FF008000"/>
      <name val="Calibri"/>
    </font>
    <font>
      <b/>
      <sz val="14.0"/>
      <color rgb="FFFFFFFF"/>
      <name val="Calibri"/>
    </font>
    <font>
      <b/>
      <sz val="11.0"/>
      <color theme="1"/>
      <name val="Calibri"/>
    </font>
    <font>
      <color theme="1"/>
      <name val="Calibri"/>
      <scheme val="minor"/>
    </font>
    <font>
      <b/>
      <color rgb="FFFFFFFF"/>
      <name val="Calibri"/>
      <scheme val="minor"/>
    </font>
    <font>
      <color rgb="FFFFFFFF"/>
      <name val="Calibri"/>
      <scheme val="minor"/>
    </font>
    <font>
      <color rgb="FF666666"/>
      <name val="Calibri"/>
      <scheme val="minor"/>
    </font>
    <font>
      <color rgb="FFF3F3F3"/>
      <name val="Calibri"/>
      <scheme val="minor"/>
    </font>
    <font>
      <b/>
      <color theme="1"/>
      <name val="Arial"/>
    </font>
    <font>
      <color theme="1"/>
      <name val="Arial"/>
    </font>
  </fonts>
  <fills count="9">
    <fill>
      <patternFill patternType="none"/>
    </fill>
    <fill>
      <patternFill patternType="lightGray"/>
    </fill>
    <fill>
      <patternFill patternType="solid">
        <fgColor rgb="FF00505A"/>
        <bgColor rgb="FF00505A"/>
      </patternFill>
    </fill>
    <fill>
      <patternFill patternType="solid">
        <fgColor rgb="FF008080"/>
        <bgColor rgb="FF008080"/>
      </patternFill>
    </fill>
    <fill>
      <patternFill patternType="solid">
        <fgColor rgb="FFF2F2F2"/>
        <bgColor rgb="FFF2F2F2"/>
      </patternFill>
    </fill>
    <fill>
      <patternFill patternType="solid">
        <fgColor rgb="FF404040"/>
        <bgColor rgb="FF404040"/>
      </patternFill>
    </fill>
    <fill>
      <patternFill patternType="solid">
        <fgColor rgb="FF0000FF"/>
        <bgColor rgb="FF0000FF"/>
      </patternFill>
    </fill>
    <fill>
      <patternFill patternType="solid">
        <fgColor rgb="FF356854"/>
        <bgColor rgb="FF356854"/>
      </patternFill>
    </fill>
    <fill>
      <patternFill patternType="solid">
        <fgColor rgb="FFD9EAD3"/>
        <bgColor rgb="FFD9EAD3"/>
      </patternFill>
    </fill>
  </fills>
  <borders count="10">
    <border/>
    <border>
      <left/>
      <top/>
      <bottom/>
    </border>
    <border>
      <top/>
      <bottom/>
    </border>
    <border>
      <right/>
      <top/>
      <bottom/>
    </border>
    <border>
      <left/>
      <right/>
      <top/>
      <bottom/>
    </border>
    <border>
      <left style="thin">
        <color rgb="FFD0D0D0"/>
      </left>
      <right style="thin">
        <color rgb="FFD0D0D0"/>
      </right>
      <top style="thin">
        <color rgb="FFD0D0D0"/>
      </top>
      <bottom style="thin">
        <color rgb="FFD0D0D0"/>
      </bottom>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left" shrinkToFit="0" vertical="center" wrapText="1"/>
    </xf>
    <xf borderId="2" fillId="0" fontId="3" numFmtId="0" xfId="0" applyBorder="1" applyFont="1"/>
    <xf borderId="3" fillId="0" fontId="3" numFmtId="0" xfId="0" applyBorder="1" applyFont="1"/>
    <xf borderId="4" fillId="3" fontId="4" numFmtId="0" xfId="0" applyAlignment="1" applyBorder="1" applyFill="1" applyFont="1">
      <alignment horizontal="center" shrinkToFit="0" vertical="center" wrapText="1"/>
    </xf>
    <xf borderId="5" fillId="0" fontId="5" numFmtId="0" xfId="0" applyAlignment="1" applyBorder="1" applyFont="1">
      <alignment horizontal="left" shrinkToFit="0" vertical="center" wrapText="1"/>
    </xf>
    <xf borderId="5" fillId="0" fontId="6" numFmtId="4" xfId="0" applyAlignment="1" applyBorder="1" applyFont="1" applyNumberFormat="1">
      <alignment horizontal="right" shrinkToFit="0" vertical="center" wrapText="0"/>
    </xf>
    <xf borderId="5" fillId="0" fontId="5" numFmtId="0" xfId="0" applyAlignment="1" applyBorder="1" applyFont="1">
      <alignment horizontal="center" shrinkToFit="0" vertical="center" wrapText="1"/>
    </xf>
    <xf borderId="5" fillId="0" fontId="7" numFmtId="0" xfId="0" applyAlignment="1" applyBorder="1" applyFont="1">
      <alignment horizontal="left" shrinkToFit="0" vertical="center" wrapText="1"/>
    </xf>
    <xf borderId="5" fillId="0" fontId="6" numFmtId="2" xfId="0" applyAlignment="1" applyBorder="1" applyFont="1" applyNumberFormat="1">
      <alignment horizontal="right" shrinkToFit="0" vertical="center" wrapText="0"/>
    </xf>
    <xf borderId="5" fillId="0" fontId="6" numFmtId="3" xfId="0" applyAlignment="1" applyBorder="1" applyFont="1" applyNumberFormat="1">
      <alignment horizontal="right" shrinkToFit="0" vertical="center" wrapText="0"/>
    </xf>
    <xf borderId="5" fillId="0" fontId="6" numFmtId="164" xfId="0" applyAlignment="1" applyBorder="1" applyFont="1" applyNumberFormat="1">
      <alignment horizontal="right" shrinkToFit="0" vertical="center" wrapText="0"/>
    </xf>
    <xf borderId="5" fillId="0" fontId="5" numFmtId="0" xfId="0" applyAlignment="1" applyBorder="1" applyFont="1">
      <alignment horizontal="left" readingOrder="0" shrinkToFit="0" vertical="center" wrapText="1"/>
    </xf>
    <xf borderId="5" fillId="0" fontId="6" numFmtId="2" xfId="0" applyAlignment="1" applyBorder="1" applyFont="1" applyNumberFormat="1">
      <alignment horizontal="right" readingOrder="0" shrinkToFit="0" vertical="center" wrapText="0"/>
    </xf>
    <xf borderId="5" fillId="0" fontId="7" numFmtId="0" xfId="0" applyAlignment="1" applyBorder="1" applyFont="1">
      <alignment horizontal="left" readingOrder="0" shrinkToFit="0" vertical="center" wrapText="1"/>
    </xf>
    <xf borderId="5" fillId="0" fontId="6" numFmtId="165" xfId="0" applyAlignment="1" applyBorder="1" applyFont="1" applyNumberFormat="1">
      <alignment horizontal="right" readingOrder="0" shrinkToFit="0" vertical="center" wrapText="0"/>
    </xf>
    <xf borderId="5" fillId="0" fontId="6" numFmtId="165" xfId="0" applyAlignment="1" applyBorder="1" applyFont="1" applyNumberFormat="1">
      <alignment horizontal="right" shrinkToFit="0" vertical="center" wrapText="0"/>
    </xf>
    <xf borderId="5" fillId="0" fontId="6" numFmtId="0" xfId="0" applyAlignment="1" applyBorder="1" applyFont="1">
      <alignment horizontal="right" shrinkToFit="0" vertical="center" wrapText="0"/>
    </xf>
    <xf borderId="5" fillId="0" fontId="1" numFmtId="0" xfId="0" applyAlignment="1" applyBorder="1" applyFont="1">
      <alignment readingOrder="0" shrinkToFit="0" vertical="bottom" wrapText="0"/>
    </xf>
    <xf borderId="6" fillId="4" fontId="8" numFmtId="0" xfId="0" applyAlignment="1" applyBorder="1" applyFill="1" applyFont="1">
      <alignment shrinkToFit="0" vertical="bottom" wrapText="0"/>
    </xf>
    <xf borderId="7" fillId="0" fontId="3" numFmtId="0" xfId="0" applyBorder="1" applyFont="1"/>
    <xf borderId="8" fillId="0" fontId="3" numFmtId="0" xfId="0" applyBorder="1" applyFont="1"/>
    <xf borderId="6" fillId="0" fontId="7" numFmtId="0" xfId="0" applyAlignment="1" applyBorder="1" applyFont="1">
      <alignment horizontal="left" shrinkToFit="0" vertical="center" wrapText="1"/>
    </xf>
    <xf borderId="5" fillId="0" fontId="6" numFmtId="4" xfId="0" applyAlignment="1" applyBorder="1" applyFont="1" applyNumberFormat="1">
      <alignment horizontal="right" readingOrder="0" shrinkToFit="0" vertical="center" wrapText="0"/>
    </xf>
    <xf borderId="1" fillId="3" fontId="4" numFmtId="0" xfId="0" applyAlignment="1" applyBorder="1" applyFont="1">
      <alignment horizontal="left" shrinkToFit="0" vertical="center" wrapText="1"/>
    </xf>
    <xf borderId="5" fillId="3" fontId="9" numFmtId="0" xfId="0" applyAlignment="1" applyBorder="1" applyFont="1">
      <alignment horizontal="center" shrinkToFit="0" vertical="center" wrapText="1"/>
    </xf>
    <xf borderId="5" fillId="0" fontId="6" numFmtId="3" xfId="0" applyAlignment="1" applyBorder="1" applyFont="1" applyNumberFormat="1">
      <alignment horizontal="center" shrinkToFit="0" vertical="center" wrapText="1"/>
    </xf>
    <xf borderId="5" fillId="0" fontId="6" numFmtId="166" xfId="0" applyAlignment="1" applyBorder="1" applyFont="1" applyNumberFormat="1">
      <alignment horizontal="right" shrinkToFit="0" vertical="center" wrapText="0"/>
    </xf>
    <xf borderId="5" fillId="0" fontId="5" numFmtId="166" xfId="0" applyAlignment="1" applyBorder="1" applyFont="1" applyNumberFormat="1">
      <alignment horizontal="right" shrinkToFit="0" vertical="center" wrapText="0"/>
    </xf>
    <xf borderId="5" fillId="0" fontId="10" numFmtId="9" xfId="0" applyAlignment="1" applyBorder="1" applyFont="1" applyNumberFormat="1">
      <alignment horizontal="right" shrinkToFit="0" vertical="center" wrapText="0"/>
    </xf>
    <xf borderId="5" fillId="0" fontId="5" numFmtId="165" xfId="0" applyAlignment="1" applyBorder="1" applyFont="1" applyNumberFormat="1">
      <alignment horizontal="right" shrinkToFit="0" vertical="center" wrapText="0"/>
    </xf>
    <xf borderId="5" fillId="0" fontId="10" numFmtId="3" xfId="0" applyAlignment="1" applyBorder="1" applyFont="1" applyNumberFormat="1">
      <alignment horizontal="right" shrinkToFit="0" vertical="center" wrapText="0"/>
    </xf>
    <xf borderId="5" fillId="0" fontId="5" numFmtId="167" xfId="0" applyAlignment="1" applyBorder="1" applyFont="1" applyNumberFormat="1">
      <alignment horizontal="right" shrinkToFit="0" vertical="center" wrapText="0"/>
    </xf>
    <xf borderId="5" fillId="0" fontId="7" numFmtId="0" xfId="0" applyAlignment="1" applyBorder="1" applyFont="1">
      <alignment shrinkToFit="0" vertical="bottom" wrapText="0"/>
    </xf>
    <xf borderId="5" fillId="0" fontId="5" numFmtId="0" xfId="0" applyAlignment="1" applyBorder="1" applyFont="1">
      <alignment shrinkToFit="0" vertical="bottom" wrapText="0"/>
    </xf>
    <xf borderId="5" fillId="0" fontId="5" numFmtId="0" xfId="0" applyAlignment="1" applyBorder="1" applyFont="1">
      <alignment horizontal="right" shrinkToFit="0" vertical="center" wrapText="0"/>
    </xf>
    <xf borderId="5" fillId="0" fontId="1" numFmtId="0" xfId="0" applyAlignment="1" applyBorder="1" applyFont="1">
      <alignment shrinkToFit="0" vertical="bottom" wrapText="0"/>
    </xf>
    <xf borderId="5" fillId="4" fontId="8" numFmtId="0" xfId="0" applyAlignment="1" applyBorder="1" applyFont="1">
      <alignment horizontal="left" shrinkToFit="0" vertical="center" wrapText="1"/>
    </xf>
    <xf borderId="5" fillId="4" fontId="8" numFmtId="166" xfId="0" applyAlignment="1" applyBorder="1" applyFont="1" applyNumberFormat="1">
      <alignment shrinkToFit="0" vertical="bottom" wrapText="0"/>
    </xf>
    <xf borderId="5" fillId="4" fontId="8" numFmtId="167" xfId="0" applyAlignment="1" applyBorder="1" applyFont="1" applyNumberFormat="1">
      <alignment shrinkToFit="0" vertical="bottom" wrapText="0"/>
    </xf>
    <xf borderId="5" fillId="0" fontId="5" numFmtId="166" xfId="0" applyAlignment="1" applyBorder="1" applyFont="1" applyNumberFormat="1">
      <alignment shrinkToFit="0" vertical="bottom" wrapText="0"/>
    </xf>
    <xf borderId="5" fillId="0" fontId="6" numFmtId="166" xfId="0" applyAlignment="1" applyBorder="1" applyFont="1" applyNumberFormat="1">
      <alignment shrinkToFit="0" vertical="bottom" wrapText="0"/>
    </xf>
    <xf borderId="5" fillId="4" fontId="8" numFmtId="0" xfId="0" applyAlignment="1" applyBorder="1" applyFont="1">
      <alignment shrinkToFit="0" vertical="bottom" wrapText="0"/>
    </xf>
    <xf borderId="5" fillId="0" fontId="5" numFmtId="0" xfId="0" applyAlignment="1" applyBorder="1" applyFont="1">
      <alignment readingOrder="0" shrinkToFit="0" vertical="bottom" wrapText="0"/>
    </xf>
    <xf borderId="5" fillId="0" fontId="6" numFmtId="3" xfId="0" applyAlignment="1" applyBorder="1" applyFont="1" applyNumberFormat="1">
      <alignment horizontal="right" readingOrder="0" shrinkToFit="0" vertical="center" wrapText="0"/>
    </xf>
    <xf borderId="5" fillId="0" fontId="5" numFmtId="3" xfId="0" applyAlignment="1" applyBorder="1" applyFont="1" applyNumberFormat="1">
      <alignment shrinkToFit="0" vertical="bottom" wrapText="0"/>
    </xf>
    <xf borderId="5" fillId="0" fontId="10" numFmtId="168" xfId="0" applyAlignment="1" applyBorder="1" applyFont="1" applyNumberFormat="1">
      <alignment shrinkToFit="0" vertical="bottom" wrapText="0"/>
    </xf>
    <xf borderId="5" fillId="0" fontId="10" numFmtId="168" xfId="0" applyAlignment="1" applyBorder="1" applyFont="1" applyNumberFormat="1">
      <alignment readingOrder="0" shrinkToFit="0" vertical="bottom" wrapText="0"/>
    </xf>
    <xf borderId="5" fillId="0" fontId="6" numFmtId="0" xfId="0" applyAlignment="1" applyBorder="1" applyFont="1">
      <alignment horizontal="right" readingOrder="0" shrinkToFit="0" vertical="center" wrapText="0"/>
    </xf>
    <xf borderId="5" fillId="4" fontId="8" numFmtId="3" xfId="0" applyAlignment="1" applyBorder="1" applyFont="1" applyNumberFormat="1">
      <alignment shrinkToFit="0" vertical="bottom" wrapText="0"/>
    </xf>
    <xf borderId="0" fillId="0" fontId="7" numFmtId="0" xfId="0" applyAlignment="1" applyFont="1">
      <alignment shrinkToFit="0" vertical="bottom" wrapText="0"/>
    </xf>
    <xf borderId="5" fillId="0" fontId="5" numFmtId="164" xfId="0" applyAlignment="1" applyBorder="1" applyFont="1" applyNumberFormat="1">
      <alignment shrinkToFit="0" vertical="bottom" wrapText="0"/>
    </xf>
    <xf borderId="5" fillId="0" fontId="10" numFmtId="3" xfId="0" applyAlignment="1" applyBorder="1" applyFont="1" applyNumberFormat="1">
      <alignment shrinkToFit="0" vertical="bottom" wrapText="0"/>
    </xf>
    <xf borderId="0" fillId="0" fontId="5" numFmtId="0" xfId="0" applyAlignment="1" applyFont="1">
      <alignment shrinkToFit="0" vertical="bottom" wrapText="0"/>
    </xf>
    <xf borderId="0" fillId="0" fontId="5" numFmtId="166" xfId="0" applyAlignment="1" applyFont="1" applyNumberFormat="1">
      <alignment shrinkToFit="0" vertical="bottom" wrapText="0"/>
    </xf>
    <xf borderId="0" fillId="0" fontId="10" numFmtId="164" xfId="0" applyAlignment="1" applyFont="1" applyNumberFormat="1">
      <alignment shrinkToFit="0" vertical="bottom" wrapText="0"/>
    </xf>
    <xf borderId="0" fillId="0" fontId="10" numFmtId="3" xfId="0" applyAlignment="1" applyFont="1" applyNumberFormat="1">
      <alignment shrinkToFit="0" vertical="bottom" wrapText="0"/>
    </xf>
    <xf borderId="5" fillId="0" fontId="8" numFmtId="0" xfId="0" applyAlignment="1" applyBorder="1" applyFont="1">
      <alignment shrinkToFit="0" vertical="bottom" wrapText="0"/>
    </xf>
    <xf borderId="5" fillId="0" fontId="8" numFmtId="166" xfId="0" applyAlignment="1" applyBorder="1" applyFont="1" applyNumberFormat="1">
      <alignment shrinkToFit="0" vertical="bottom" wrapText="0"/>
    </xf>
    <xf borderId="5" fillId="0" fontId="8" numFmtId="169" xfId="0" applyAlignment="1" applyBorder="1" applyFont="1" applyNumberFormat="1">
      <alignment shrinkToFit="0" vertical="bottom" wrapText="0"/>
    </xf>
    <xf borderId="5" fillId="4" fontId="1" numFmtId="0" xfId="0" applyAlignment="1" applyBorder="1" applyFont="1">
      <alignment shrinkToFit="0" vertical="bottom" wrapText="0"/>
    </xf>
    <xf borderId="5" fillId="0" fontId="7" numFmtId="0" xfId="0" applyAlignment="1" applyBorder="1" applyFont="1">
      <alignment horizontal="center" shrinkToFit="0" vertical="center" wrapText="1"/>
    </xf>
    <xf borderId="5" fillId="0" fontId="8" numFmtId="164" xfId="0" applyAlignment="1" applyBorder="1" applyFont="1" applyNumberFormat="1">
      <alignment shrinkToFit="0" vertical="bottom" wrapText="0"/>
    </xf>
    <xf borderId="5" fillId="0" fontId="8" numFmtId="165" xfId="0" applyAlignment="1" applyBorder="1" applyFont="1" applyNumberFormat="1">
      <alignment shrinkToFit="0" vertical="bottom" wrapText="0"/>
    </xf>
    <xf borderId="5" fillId="0" fontId="8" numFmtId="170" xfId="0" applyAlignment="1" applyBorder="1" applyFont="1" applyNumberFormat="1">
      <alignment shrinkToFit="0" vertical="bottom" wrapText="0"/>
    </xf>
    <xf borderId="5" fillId="0" fontId="8" numFmtId="171" xfId="0" applyAlignment="1" applyBorder="1" applyFont="1" applyNumberFormat="1">
      <alignment shrinkToFit="0" vertical="bottom" wrapText="0"/>
    </xf>
    <xf borderId="5" fillId="0" fontId="8" numFmtId="3" xfId="0" applyAlignment="1" applyBorder="1" applyFont="1" applyNumberFormat="1">
      <alignment shrinkToFit="0" vertical="bottom" wrapText="0"/>
    </xf>
    <xf borderId="0" fillId="0" fontId="8" numFmtId="0" xfId="0" applyAlignment="1" applyFont="1">
      <alignment shrinkToFit="0" vertical="bottom" wrapText="0"/>
    </xf>
    <xf borderId="4" fillId="4" fontId="8" numFmtId="0" xfId="0" applyAlignment="1" applyBorder="1" applyFont="1">
      <alignment shrinkToFit="0" vertical="bottom" wrapText="0"/>
    </xf>
    <xf borderId="4" fillId="3" fontId="9" numFmtId="0" xfId="0" applyAlignment="1" applyBorder="1" applyFont="1">
      <alignment horizontal="center" shrinkToFit="0" vertical="center" wrapText="1"/>
    </xf>
    <xf borderId="0" fillId="0" fontId="5" numFmtId="165" xfId="0" applyAlignment="1" applyFont="1" applyNumberFormat="1">
      <alignment shrinkToFit="0" vertical="bottom" wrapText="0"/>
    </xf>
    <xf borderId="0" fillId="0" fontId="1" numFmtId="9" xfId="0" applyAlignment="1" applyFont="1" applyNumberFormat="1">
      <alignment readingOrder="0" shrinkToFit="0" vertical="bottom" wrapText="0"/>
    </xf>
    <xf borderId="0" fillId="0" fontId="1" numFmtId="172" xfId="0" applyAlignment="1" applyFont="1" applyNumberFormat="1">
      <alignment readingOrder="0" shrinkToFit="0" vertical="bottom" wrapText="0"/>
    </xf>
    <xf borderId="1" fillId="2" fontId="11" numFmtId="0" xfId="0" applyAlignment="1" applyBorder="1" applyFont="1">
      <alignment horizontal="left" shrinkToFit="0" vertical="center" wrapText="1"/>
    </xf>
    <xf borderId="4" fillId="2" fontId="1" numFmtId="0" xfId="0" applyAlignment="1" applyBorder="1" applyFont="1">
      <alignment shrinkToFit="0" vertical="bottom" wrapText="0"/>
    </xf>
    <xf borderId="4" fillId="2" fontId="2" numFmtId="0" xfId="0" applyAlignment="1" applyBorder="1" applyFont="1">
      <alignment horizontal="center" shrinkToFit="0" vertical="center" wrapText="1"/>
    </xf>
    <xf borderId="4" fillId="2" fontId="2" numFmtId="0" xfId="0" applyAlignment="1" applyBorder="1" applyFont="1">
      <alignment horizontal="left" shrinkToFit="0" vertical="center" wrapText="1"/>
    </xf>
    <xf borderId="4" fillId="4" fontId="8" numFmtId="166" xfId="0" applyAlignment="1" applyBorder="1" applyFont="1" applyNumberFormat="1">
      <alignment shrinkToFit="0" vertical="bottom" wrapText="0"/>
    </xf>
    <xf borderId="0" fillId="0" fontId="5" numFmtId="0" xfId="0" applyAlignment="1" applyFont="1">
      <alignment horizontal="center" shrinkToFit="0" vertical="center" wrapText="1"/>
    </xf>
    <xf borderId="0" fillId="0" fontId="8" numFmtId="166" xfId="0" applyAlignment="1" applyFont="1" applyNumberFormat="1">
      <alignment shrinkToFit="0" vertical="bottom" wrapText="0"/>
    </xf>
    <xf borderId="4" fillId="3" fontId="4" numFmtId="0" xfId="0" applyAlignment="1" applyBorder="1" applyFont="1">
      <alignment horizontal="left" shrinkToFit="0" vertical="center" wrapText="1"/>
    </xf>
    <xf borderId="4" fillId="3" fontId="1" numFmtId="0" xfId="0" applyAlignment="1" applyBorder="1" applyFont="1">
      <alignment shrinkToFit="0" vertical="bottom" wrapText="0"/>
    </xf>
    <xf borderId="0" fillId="0" fontId="5" numFmtId="164" xfId="0" applyAlignment="1" applyFont="1" applyNumberFormat="1">
      <alignment shrinkToFit="0" vertical="bottom" wrapText="0"/>
    </xf>
    <xf borderId="0" fillId="0" fontId="8" numFmtId="164" xfId="0" applyAlignment="1" applyFont="1" applyNumberFormat="1">
      <alignment shrinkToFit="0" vertical="bottom" wrapText="0"/>
    </xf>
    <xf borderId="0" fillId="0" fontId="8" numFmtId="170" xfId="0" applyAlignment="1" applyFont="1" applyNumberFormat="1">
      <alignment shrinkToFit="0" vertical="bottom" wrapText="0"/>
    </xf>
    <xf borderId="4" fillId="5" fontId="4" numFmtId="0" xfId="0" applyAlignment="1" applyBorder="1" applyFill="1" applyFont="1">
      <alignment horizontal="left" shrinkToFit="0" vertical="center" wrapText="1"/>
    </xf>
    <xf borderId="4" fillId="5" fontId="1" numFmtId="0" xfId="0" applyAlignment="1" applyBorder="1" applyFont="1">
      <alignment shrinkToFit="0" vertical="bottom" wrapText="0"/>
    </xf>
    <xf borderId="0" fillId="0" fontId="5" numFmtId="171" xfId="0" applyAlignment="1" applyFont="1" applyNumberFormat="1">
      <alignment shrinkToFit="0" vertical="bottom" wrapText="0"/>
    </xf>
    <xf borderId="0" fillId="0" fontId="5" numFmtId="3" xfId="0" applyAlignment="1" applyFont="1" applyNumberFormat="1">
      <alignment shrinkToFit="0" vertical="bottom" wrapText="0"/>
    </xf>
    <xf borderId="1" fillId="4" fontId="8" numFmtId="0" xfId="0" applyAlignment="1" applyBorder="1" applyFont="1">
      <alignment shrinkToFit="0" vertical="bottom" wrapText="0"/>
    </xf>
    <xf borderId="4" fillId="3" fontId="8" numFmtId="0" xfId="0" applyAlignment="1" applyBorder="1" applyFont="1">
      <alignment horizontal="center" shrinkToFit="0" vertical="center" wrapText="1"/>
    </xf>
    <xf borderId="0" fillId="6" fontId="1" numFmtId="0" xfId="0" applyAlignment="1" applyFill="1" applyFont="1">
      <alignment readingOrder="0" shrinkToFit="0" vertical="bottom" wrapText="0"/>
    </xf>
    <xf borderId="0" fillId="0" fontId="12" numFmtId="0" xfId="0" applyAlignment="1" applyFont="1">
      <alignment readingOrder="0" shrinkToFit="0" vertical="bottom" wrapText="0"/>
    </xf>
    <xf borderId="0" fillId="0" fontId="12" numFmtId="0" xfId="0" applyAlignment="1" applyFont="1">
      <alignment shrinkToFit="0" vertical="bottom" wrapText="0"/>
    </xf>
    <xf borderId="0" fillId="6" fontId="12" numFmtId="0" xfId="0" applyAlignment="1" applyFont="1">
      <alignment readingOrder="0" shrinkToFit="0" vertical="bottom" wrapText="0"/>
    </xf>
    <xf borderId="0" fillId="0" fontId="13" numFmtId="0" xfId="0" applyAlignment="1" applyFont="1">
      <alignment readingOrder="0"/>
    </xf>
    <xf borderId="0" fillId="0" fontId="13" numFmtId="0" xfId="0" applyAlignment="1" applyFont="1">
      <alignment horizontal="left" readingOrder="0" shrinkToFit="0" vertical="center" wrapText="0"/>
    </xf>
    <xf borderId="0" fillId="0" fontId="13" numFmtId="0" xfId="0" applyAlignment="1" applyFont="1">
      <alignment readingOrder="0" shrinkToFit="0" vertical="center" wrapText="0"/>
    </xf>
    <xf borderId="0" fillId="0" fontId="13" numFmtId="173" xfId="0" applyAlignment="1" applyFont="1" applyNumberFormat="1">
      <alignment readingOrder="0"/>
    </xf>
    <xf borderId="0" fillId="7" fontId="14" numFmtId="0" xfId="0" applyAlignment="1" applyFill="1" applyFont="1">
      <alignment readingOrder="0"/>
    </xf>
    <xf borderId="0" fillId="7" fontId="14" numFmtId="0" xfId="0" applyFont="1"/>
    <xf borderId="0" fillId="0" fontId="13" numFmtId="9" xfId="0" applyAlignment="1" applyFont="1" applyNumberFormat="1">
      <alignment readingOrder="0"/>
    </xf>
    <xf borderId="0" fillId="7" fontId="15" numFmtId="0" xfId="0" applyAlignment="1" applyFont="1">
      <alignment readingOrder="0"/>
    </xf>
    <xf borderId="0" fillId="7" fontId="15" numFmtId="0" xfId="0" applyFont="1"/>
    <xf borderId="0" fillId="8" fontId="16" numFmtId="0" xfId="0" applyAlignment="1" applyFill="1" applyFont="1">
      <alignment shrinkToFit="0" wrapText="1"/>
    </xf>
    <xf borderId="0" fillId="0" fontId="17" numFmtId="0" xfId="0" applyFont="1"/>
    <xf borderId="9" fillId="4" fontId="18" numFmtId="0" xfId="0" applyAlignment="1" applyBorder="1" applyFont="1">
      <alignment horizontal="left" readingOrder="0"/>
    </xf>
    <xf borderId="9" fillId="0" fontId="19" numFmtId="0" xfId="0" applyAlignment="1" applyBorder="1" applyFont="1">
      <alignment horizontal="left" readingOrder="0"/>
    </xf>
    <xf borderId="9" fillId="0" fontId="19" numFmtId="172" xfId="0" applyAlignment="1" applyBorder="1" applyFont="1" applyNumberFormat="1">
      <alignment horizontal="left" readingOrder="0"/>
    </xf>
  </cellXfs>
  <cellStyles count="1">
    <cellStyle xfId="0" name="Normal" builtinId="0"/>
  </cellStyles>
  <dxfs count="8">
    <dxf>
      <font>
        <color rgb="FF9C0006"/>
      </font>
      <fill>
        <patternFill patternType="solid">
          <fgColor rgb="FFFFC7CE"/>
          <bgColor rgb="FFFFC7CE"/>
        </patternFill>
      </fill>
      <border/>
    </dxf>
    <dxf>
      <font>
        <color rgb="FF9C5700"/>
      </font>
      <fill>
        <patternFill patternType="solid">
          <fgColor rgb="FFFFEB9C"/>
          <bgColor rgb="FFFFEB9C"/>
        </patternFill>
      </fill>
      <border/>
    </dxf>
    <dxf>
      <font>
        <color rgb="FF006100"/>
      </font>
      <fill>
        <patternFill patternType="solid">
          <fgColor rgb="FFC6EFCE"/>
          <bgColor rgb="FFC6EFCE"/>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Datos para Gráficas-style">
      <tableStyleElement dxfId="4" type="headerRow"/>
      <tableStyleElement dxfId="5" type="firstRowStripe"/>
      <tableStyleElement dxfId="6" type="secondRowStripe"/>
      <tableStyleElement dxfId="7" size="0" type="wholeTable"/>
    </tableStyle>
    <tableStyle count="4" pivot="0" name="Datos para Gráficas-style 2">
      <tableStyleElement dxfId="4" type="headerRow"/>
      <tableStyleElement dxfId="5" type="firstRowStripe"/>
      <tableStyleElement dxfId="6" type="secondRowStripe"/>
      <tableStyleElement dxfId="7"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INVERSION POR ESCALA</a:t>
            </a:r>
          </a:p>
        </c:rich>
      </c:tx>
      <c:overlay val="0"/>
    </c:title>
    <c:plotArea>
      <c:layout/>
      <c:barChart>
        <c:barDir val="col"/>
        <c:ser>
          <c:idx val="0"/>
          <c:order val="0"/>
          <c:tx>
            <c:strRef>
              <c:f>'Datos para Gráficas'!$B$3</c:f>
            </c:strRef>
          </c:tx>
          <c:spPr>
            <a:solidFill>
              <a:schemeClr val="accent1"/>
            </a:solidFill>
            <a:ln cmpd="sng">
              <a:solidFill>
                <a:srgbClr val="000000"/>
              </a:solidFill>
            </a:ln>
          </c:spPr>
          <c:cat>
            <c:strRef>
              <c:f>'Datos para Gráficas'!$A$4:$A$6</c:f>
            </c:strRef>
          </c:cat>
          <c:val>
            <c:numRef>
              <c:f>'Datos para Gráficas'!$B$4:$B$6</c:f>
              <c:numCache/>
            </c:numRef>
          </c:val>
        </c:ser>
        <c:ser>
          <c:idx val="1"/>
          <c:order val="1"/>
          <c:tx>
            <c:strRef>
              <c:f>'Datos para Gráficas'!$C$3</c:f>
            </c:strRef>
          </c:tx>
          <c:spPr>
            <a:solidFill>
              <a:schemeClr val="accent2"/>
            </a:solidFill>
            <a:ln cmpd="sng">
              <a:solidFill>
                <a:srgbClr val="000000"/>
              </a:solidFill>
            </a:ln>
          </c:spPr>
          <c:cat>
            <c:strRef>
              <c:f>'Datos para Gráficas'!$A$4:$A$6</c:f>
            </c:strRef>
          </c:cat>
          <c:val>
            <c:numRef>
              <c:f>'Datos para Gráficas'!$C$4:$C$6</c:f>
              <c:numCache/>
            </c:numRef>
          </c:val>
        </c:ser>
        <c:ser>
          <c:idx val="2"/>
          <c:order val="2"/>
          <c:tx>
            <c:strRef>
              <c:f>'Datos para Gráficas'!$D$3</c:f>
            </c:strRef>
          </c:tx>
          <c:spPr>
            <a:solidFill>
              <a:schemeClr val="accent3"/>
            </a:solidFill>
            <a:ln cmpd="sng">
              <a:solidFill>
                <a:srgbClr val="000000"/>
              </a:solidFill>
            </a:ln>
          </c:spPr>
          <c:cat>
            <c:strRef>
              <c:f>'Datos para Gráficas'!$A$4:$A$6</c:f>
            </c:strRef>
          </c:cat>
          <c:val>
            <c:numRef>
              <c:f>'Datos para Gráficas'!$D$4:$D$6</c:f>
              <c:numCache/>
            </c:numRef>
          </c:val>
        </c:ser>
        <c:axId val="2018728532"/>
        <c:axId val="289796097"/>
      </c:barChart>
      <c:catAx>
        <c:axId val="20187285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Concepto</a:t>
                </a:r>
              </a:p>
            </c:rich>
          </c:tx>
          <c:overlay val="0"/>
        </c:title>
        <c:numFmt formatCode="General" sourceLinked="1"/>
        <c:majorTickMark val="none"/>
        <c:minorTickMark val="none"/>
        <c:spPr/>
        <c:txPr>
          <a:bodyPr/>
          <a:lstStyle/>
          <a:p>
            <a:pPr lvl="0">
              <a:defRPr b="0">
                <a:solidFill>
                  <a:srgbClr val="000000"/>
                </a:solidFill>
                <a:latin typeface="+mn-lt"/>
              </a:defRPr>
            </a:pPr>
          </a:p>
        </c:txPr>
        <c:crossAx val="289796097"/>
      </c:catAx>
      <c:valAx>
        <c:axId val="2897960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1872853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OPEX mensual total</a:t>
            </a:r>
          </a:p>
        </c:rich>
      </c:tx>
      <c:overlay val="0"/>
    </c:title>
    <c:plotArea>
      <c:layout/>
      <c:areaChart>
        <c:grouping val="stacked"/>
        <c:ser>
          <c:idx val="0"/>
          <c:order val="0"/>
          <c:tx>
            <c:strRef>
              <c:f>'Datos para Gráficas'!$A$11</c:f>
            </c:strRef>
          </c:tx>
          <c:spPr>
            <a:solidFill>
              <a:srgbClr val="4F81BD">
                <a:alpha val="30000"/>
              </a:srgbClr>
            </a:solidFill>
            <a:ln cmpd="sng">
              <a:solidFill>
                <a:srgbClr val="4F81BD"/>
              </a:solidFill>
            </a:ln>
          </c:spPr>
          <c:cat>
            <c:strRef>
              <c:f>'Datos para Gráficas'!$B$10:$D$10</c:f>
            </c:strRef>
          </c:cat>
          <c:val>
            <c:numRef>
              <c:f>'Datos para Gráficas'!$B$11:$D$11</c:f>
              <c:numCache/>
            </c:numRef>
          </c:val>
        </c:ser>
        <c:axId val="1917228743"/>
        <c:axId val="539490046"/>
      </c:areaChart>
      <c:catAx>
        <c:axId val="19172287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Concepto</a:t>
                </a:r>
              </a:p>
            </c:rich>
          </c:tx>
          <c:overlay val="0"/>
        </c:title>
        <c:numFmt formatCode="General" sourceLinked="1"/>
        <c:majorTickMark val="none"/>
        <c:minorTickMark val="none"/>
        <c:spPr/>
        <c:txPr>
          <a:bodyPr/>
          <a:lstStyle/>
          <a:p>
            <a:pPr lvl="0">
              <a:defRPr b="0">
                <a:solidFill>
                  <a:srgbClr val="000000"/>
                </a:solidFill>
                <a:latin typeface="+mn-lt"/>
              </a:defRPr>
            </a:pPr>
          </a:p>
        </c:txPr>
        <c:crossAx val="539490046"/>
      </c:catAx>
      <c:valAx>
        <c:axId val="5394900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OPEX mensual total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1722874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RENTABILIDAD POR ESCALA</a:t>
            </a:r>
          </a:p>
        </c:rich>
      </c:tx>
      <c:overlay val="0"/>
    </c:title>
    <c:plotArea>
      <c:layout/>
      <c:barChart>
        <c:barDir val="col"/>
        <c:ser>
          <c:idx val="0"/>
          <c:order val="0"/>
          <c:tx>
            <c:strRef>
              <c:f>'Datos para Gráficas'!$B$13:$B$14</c:f>
            </c:strRef>
          </c:tx>
          <c:spPr>
            <a:solidFill>
              <a:schemeClr val="accent1"/>
            </a:solidFill>
            <a:ln cmpd="sng">
              <a:solidFill>
                <a:srgbClr val="000000"/>
              </a:solidFill>
            </a:ln>
          </c:spPr>
          <c:cat>
            <c:strRef>
              <c:f>'Datos para Gráficas'!$A$15:$A$16</c:f>
            </c:strRef>
          </c:cat>
          <c:val>
            <c:numRef>
              <c:f>'Datos para Gráficas'!$B$15:$B$16</c:f>
              <c:numCache/>
            </c:numRef>
          </c:val>
        </c:ser>
        <c:ser>
          <c:idx val="1"/>
          <c:order val="1"/>
          <c:tx>
            <c:strRef>
              <c:f>'Datos para Gráficas'!$C$13:$C$14</c:f>
            </c:strRef>
          </c:tx>
          <c:spPr>
            <a:solidFill>
              <a:schemeClr val="accent2"/>
            </a:solidFill>
            <a:ln cmpd="sng">
              <a:solidFill>
                <a:srgbClr val="000000"/>
              </a:solidFill>
            </a:ln>
          </c:spPr>
          <c:cat>
            <c:strRef>
              <c:f>'Datos para Gráficas'!$A$15:$A$16</c:f>
            </c:strRef>
          </c:cat>
          <c:val>
            <c:numRef>
              <c:f>'Datos para Gráficas'!$C$15:$C$16</c:f>
              <c:numCache/>
            </c:numRef>
          </c:val>
        </c:ser>
        <c:ser>
          <c:idx val="2"/>
          <c:order val="2"/>
          <c:tx>
            <c:strRef>
              <c:f>'Datos para Gráficas'!$D$13:$D$14</c:f>
            </c:strRef>
          </c:tx>
          <c:spPr>
            <a:solidFill>
              <a:schemeClr val="accent3"/>
            </a:solidFill>
            <a:ln cmpd="sng">
              <a:solidFill>
                <a:srgbClr val="000000"/>
              </a:solidFill>
            </a:ln>
          </c:spPr>
          <c:cat>
            <c:strRef>
              <c:f>'Datos para Gráficas'!$A$15:$A$16</c:f>
            </c:strRef>
          </c:cat>
          <c:val>
            <c:numRef>
              <c:f>'Datos para Gráficas'!$D$15:$D$16</c:f>
              <c:numCache/>
            </c:numRef>
          </c:val>
        </c:ser>
        <c:axId val="649784167"/>
        <c:axId val="1078677450"/>
      </c:barChart>
      <c:catAx>
        <c:axId val="6497841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Concepto</a:t>
                </a:r>
              </a:p>
            </c:rich>
          </c:tx>
          <c:overlay val="0"/>
        </c:title>
        <c:numFmt formatCode="General" sourceLinked="1"/>
        <c:majorTickMark val="none"/>
        <c:minorTickMark val="none"/>
        <c:spPr/>
        <c:txPr>
          <a:bodyPr/>
          <a:lstStyle/>
          <a:p>
            <a:pPr lvl="0">
              <a:defRPr b="0">
                <a:solidFill>
                  <a:srgbClr val="000000"/>
                </a:solidFill>
                <a:latin typeface="+mn-lt"/>
              </a:defRPr>
            </a:pPr>
          </a:p>
        </c:txPr>
        <c:crossAx val="1078677450"/>
      </c:catAx>
      <c:valAx>
        <c:axId val="10786774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978416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Ingreso mensual (MXN)</a:t>
            </a:r>
          </a:p>
        </c:rich>
      </c:tx>
      <c:overlay val="0"/>
    </c:title>
    <c:plotArea>
      <c:layout/>
      <c:pieChart>
        <c:varyColors val="1"/>
        <c:ser>
          <c:idx val="0"/>
          <c:order val="0"/>
          <c:tx>
            <c:strRef>
              <c:f>'Datos para Gráficas'!$B$21:$B$22</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Lbls>
            <c:showLegendKey val="0"/>
            <c:showVal val="0"/>
            <c:showCatName val="0"/>
            <c:showSerName val="0"/>
            <c:showPercent val="0"/>
            <c:showBubbleSize val="0"/>
            <c:showLeaderLines val="1"/>
          </c:dLbls>
          <c:cat>
            <c:strRef>
              <c:f>'Datos para Gráficas'!$A$23:$A$26</c:f>
            </c:strRef>
          </c:cat>
          <c:val>
            <c:numRef>
              <c:f>'Datos para Gráficas'!$B$23:$B$26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533400</xdr:colOff>
      <xdr:row>1</xdr:row>
      <xdr:rowOff>85725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666750</xdr:colOff>
      <xdr:row>1</xdr:row>
      <xdr:rowOff>85725</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533400</xdr:colOff>
      <xdr:row>16</xdr:row>
      <xdr:rowOff>133350</xdr:rowOff>
    </xdr:from>
    <xdr:ext cx="4924425" cy="3048000"/>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590550</xdr:colOff>
      <xdr:row>44</xdr:row>
      <xdr:rowOff>123825</xdr:rowOff>
    </xdr:from>
    <xdr:ext cx="6972300" cy="4295775"/>
    <xdr:graphicFrame>
      <xdr:nvGraphicFramePr>
        <xdr:cNvPr id="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D6" displayName="Tabla_1" name="Tabla_1" id="1">
  <tableColumns count="4">
    <tableColumn name="Concepto" id="1"/>
    <tableColumn name="Pequeña" id="2"/>
    <tableColumn name="Mediana" id="3"/>
    <tableColumn name="Grande" id="4"/>
  </tableColumns>
  <tableStyleInfo name="Datos para Gráficas-style" showColumnStripes="0" showFirstColumn="1" showLastColumn="1" showRowStripes="1"/>
</table>
</file>

<file path=xl/tables/table2.xml><?xml version="1.0" encoding="utf-8"?>
<table xmlns="http://schemas.openxmlformats.org/spreadsheetml/2006/main" ref="A10:D11" displayName="Tabla_2" name="Tabla_2" id="2">
  <tableColumns count="4">
    <tableColumn name="Concepto" id="1"/>
    <tableColumn name="Pequeña" id="2"/>
    <tableColumn name="Mediana" id="3"/>
    <tableColumn name="Grande" id="4"/>
  </tableColumns>
  <tableStyleInfo name="Datos para Gráfica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1.xml"/><Relationship Id="rId5"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43"/>
    <col customWidth="1" min="2" max="2" width="42.0"/>
    <col customWidth="1" min="3" max="3" width="27.71"/>
    <col customWidth="1" min="4" max="6" width="18.0"/>
    <col customWidth="1" min="7" max="42" width="15.0"/>
  </cols>
  <sheetData>
    <row r="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ht="15.0" customHeight="1">
      <c r="A2" s="2"/>
      <c r="B2" s="3" t="s">
        <v>0</v>
      </c>
      <c r="C2" s="4"/>
      <c r="D2" s="4"/>
      <c r="E2" s="4"/>
      <c r="F2" s="5"/>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c r="A3" s="2"/>
      <c r="B3" s="6" t="s">
        <v>1</v>
      </c>
      <c r="C3" s="6" t="s">
        <v>2</v>
      </c>
      <c r="D3" s="6" t="s">
        <v>3</v>
      </c>
      <c r="E3" s="6" t="s">
        <v>4</v>
      </c>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c r="A4" s="2"/>
      <c r="B4" s="7" t="s">
        <v>5</v>
      </c>
      <c r="C4" s="8">
        <v>17.1</v>
      </c>
      <c r="D4" s="9" t="s">
        <v>6</v>
      </c>
      <c r="E4" s="10"/>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c r="A5" s="2"/>
      <c r="B5" s="7" t="s">
        <v>7</v>
      </c>
      <c r="C5" s="8">
        <v>3.0</v>
      </c>
      <c r="D5" s="9" t="s">
        <v>8</v>
      </c>
      <c r="E5" s="10" t="s">
        <v>9</v>
      </c>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row>
    <row r="6">
      <c r="A6" s="2"/>
      <c r="B6" s="7" t="s">
        <v>10</v>
      </c>
      <c r="C6" s="8">
        <v>18.5</v>
      </c>
      <c r="D6" s="9" t="s">
        <v>11</v>
      </c>
      <c r="E6" s="10" t="s">
        <v>12</v>
      </c>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row>
    <row r="7">
      <c r="A7" s="2"/>
      <c r="B7" s="7" t="s">
        <v>13</v>
      </c>
      <c r="C7" s="8">
        <v>24.0</v>
      </c>
      <c r="D7" s="9" t="s">
        <v>14</v>
      </c>
      <c r="E7" s="10" t="s">
        <v>12</v>
      </c>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c r="A8" s="2"/>
      <c r="B8" s="7" t="s">
        <v>15</v>
      </c>
      <c r="C8" s="11">
        <v>1.1</v>
      </c>
      <c r="D8" s="9" t="s">
        <v>16</v>
      </c>
      <c r="E8" s="10"/>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row>
    <row r="9">
      <c r="A9" s="2"/>
      <c r="B9" s="7" t="s">
        <v>17</v>
      </c>
      <c r="C9" s="12">
        <v>300.0</v>
      </c>
      <c r="D9" s="9" t="s">
        <v>18</v>
      </c>
      <c r="E9" s="10"/>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c r="A10" s="2"/>
      <c r="B10" s="7" t="s">
        <v>19</v>
      </c>
      <c r="C10" s="12">
        <v>25.0</v>
      </c>
      <c r="D10" s="9" t="s">
        <v>18</v>
      </c>
      <c r="E10" s="10"/>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c r="A11" s="2"/>
      <c r="B11" s="7" t="s">
        <v>20</v>
      </c>
      <c r="C11" s="13">
        <v>0.1</v>
      </c>
      <c r="D11" s="9" t="s">
        <v>21</v>
      </c>
      <c r="E11" s="10"/>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c r="A12" s="2"/>
      <c r="B12" s="7" t="s">
        <v>22</v>
      </c>
      <c r="C12" s="12">
        <v>65.0</v>
      </c>
      <c r="D12" s="9" t="s">
        <v>23</v>
      </c>
      <c r="E12" s="10"/>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c r="A13" s="2"/>
      <c r="B13" s="7" t="s">
        <v>24</v>
      </c>
      <c r="C13" s="11">
        <v>1.35</v>
      </c>
      <c r="D13" s="9" t="s">
        <v>16</v>
      </c>
      <c r="E13" s="10"/>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c r="A14" s="2"/>
      <c r="B14" s="7" t="s">
        <v>25</v>
      </c>
      <c r="C14" s="13">
        <v>0.2</v>
      </c>
      <c r="D14" s="9" t="s">
        <v>21</v>
      </c>
      <c r="E14" s="10"/>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row>
    <row r="15">
      <c r="A15" s="2"/>
      <c r="B15" s="7" t="s">
        <v>26</v>
      </c>
      <c r="C15" s="13">
        <v>0.3</v>
      </c>
      <c r="D15" s="9" t="s">
        <v>21</v>
      </c>
      <c r="E15" s="10"/>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row>
    <row r="16">
      <c r="A16" s="2"/>
      <c r="B16" s="7" t="s">
        <v>27</v>
      </c>
      <c r="C16" s="13">
        <v>0.1</v>
      </c>
      <c r="D16" s="9" t="s">
        <v>21</v>
      </c>
      <c r="E16" s="10"/>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row>
    <row r="17">
      <c r="A17" s="2"/>
      <c r="B17" s="7" t="s">
        <v>28</v>
      </c>
      <c r="C17" s="13">
        <v>0.05</v>
      </c>
      <c r="D17" s="9" t="s">
        <v>21</v>
      </c>
      <c r="E17" s="10"/>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row>
    <row r="18">
      <c r="A18" s="2"/>
      <c r="B18" s="7" t="s">
        <v>29</v>
      </c>
      <c r="C18" s="12">
        <v>10.0</v>
      </c>
      <c r="D18" s="9" t="s">
        <v>30</v>
      </c>
      <c r="E18" s="10"/>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c r="A19" s="2"/>
      <c r="B19" s="7" t="s">
        <v>31</v>
      </c>
      <c r="C19" s="12">
        <v>4.0</v>
      </c>
      <c r="D19" s="9" t="s">
        <v>30</v>
      </c>
      <c r="E19" s="10"/>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row>
    <row r="20">
      <c r="A20" s="2"/>
      <c r="B20" s="7" t="s">
        <v>32</v>
      </c>
      <c r="C20" s="12">
        <v>20.0</v>
      </c>
      <c r="D20" s="9" t="s">
        <v>30</v>
      </c>
      <c r="E20" s="10"/>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row>
    <row r="21" ht="15.75" customHeight="1">
      <c r="A21" s="2"/>
      <c r="B21" s="7" t="s">
        <v>33</v>
      </c>
      <c r="C21" s="12">
        <v>3.0</v>
      </c>
      <c r="D21" s="9" t="s">
        <v>30</v>
      </c>
      <c r="E21" s="10"/>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ht="15.75" customHeight="1">
      <c r="A22" s="2"/>
      <c r="B22" s="7" t="s">
        <v>34</v>
      </c>
      <c r="C22" s="13">
        <v>0.7</v>
      </c>
      <c r="D22" s="9" t="s">
        <v>21</v>
      </c>
      <c r="E22" s="10"/>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row>
    <row r="23" ht="15.75" customHeight="1">
      <c r="A23" s="2"/>
      <c r="B23" s="7" t="s">
        <v>35</v>
      </c>
      <c r="C23" s="13">
        <v>0.85</v>
      </c>
      <c r="D23" s="9" t="s">
        <v>21</v>
      </c>
      <c r="E23" s="10"/>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row>
    <row r="24" ht="15.75" customHeight="1">
      <c r="A24" s="2"/>
      <c r="B24" s="7" t="s">
        <v>36</v>
      </c>
      <c r="C24" s="13">
        <v>0.4</v>
      </c>
      <c r="D24" s="9" t="s">
        <v>21</v>
      </c>
      <c r="E24" s="10"/>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row>
    <row r="25" ht="15.75" customHeight="1">
      <c r="A25" s="2"/>
      <c r="B25" s="7" t="s">
        <v>37</v>
      </c>
      <c r="C25" s="13">
        <v>0.6</v>
      </c>
      <c r="D25" s="9" t="s">
        <v>21</v>
      </c>
      <c r="E25" s="10"/>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row>
    <row r="26" ht="15.75" customHeight="1">
      <c r="A26" s="2"/>
      <c r="B26" s="7" t="s">
        <v>38</v>
      </c>
      <c r="C26" s="13">
        <v>0.5</v>
      </c>
      <c r="D26" s="9" t="s">
        <v>21</v>
      </c>
      <c r="E26" s="10"/>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row>
    <row r="27" ht="15.75" customHeight="1">
      <c r="A27" s="2"/>
      <c r="B27" s="7" t="s">
        <v>39</v>
      </c>
      <c r="C27" s="13">
        <v>0.75</v>
      </c>
      <c r="D27" s="9" t="s">
        <v>21</v>
      </c>
      <c r="E27" s="10"/>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row>
    <row r="28" ht="15.75" customHeight="1">
      <c r="A28" s="2"/>
      <c r="B28" s="7" t="s">
        <v>40</v>
      </c>
      <c r="C28" s="13">
        <v>1.0</v>
      </c>
      <c r="D28" s="9" t="s">
        <v>21</v>
      </c>
      <c r="E28" s="10"/>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row>
    <row r="29" ht="15.75" customHeight="1">
      <c r="A29" s="2"/>
      <c r="B29" s="7" t="s">
        <v>41</v>
      </c>
      <c r="C29" s="12">
        <v>30.0</v>
      </c>
      <c r="D29" s="9" t="s">
        <v>18</v>
      </c>
      <c r="E29" s="10"/>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row>
    <row r="30" ht="15.75" customHeight="1">
      <c r="A30" s="2"/>
      <c r="B30" s="7" t="s">
        <v>42</v>
      </c>
      <c r="C30" s="12">
        <v>7.0</v>
      </c>
      <c r="D30" s="9" t="s">
        <v>18</v>
      </c>
      <c r="E30" s="10"/>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row>
    <row r="31" ht="15.75" customHeight="1">
      <c r="A31" s="2"/>
      <c r="B31" s="7" t="s">
        <v>43</v>
      </c>
      <c r="C31" s="12">
        <v>15.0</v>
      </c>
      <c r="D31" s="9" t="s">
        <v>18</v>
      </c>
      <c r="E31" s="10"/>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row>
    <row r="32" ht="15.75" customHeight="1">
      <c r="A32" s="2"/>
      <c r="B32" s="7" t="s">
        <v>44</v>
      </c>
      <c r="C32" s="8">
        <v>8.0</v>
      </c>
      <c r="D32" s="9" t="s">
        <v>45</v>
      </c>
      <c r="E32" s="10"/>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row>
    <row r="33" ht="15.75" customHeight="1">
      <c r="A33" s="2"/>
      <c r="B33" s="14" t="s">
        <v>46</v>
      </c>
      <c r="C33" s="15">
        <v>725.76</v>
      </c>
      <c r="D33" s="9"/>
      <c r="E33" s="16" t="s">
        <v>47</v>
      </c>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row>
    <row r="34" ht="15.75" customHeight="1">
      <c r="A34" s="2"/>
      <c r="B34" s="14" t="s">
        <v>48</v>
      </c>
      <c r="C34" s="17">
        <v>0.0</v>
      </c>
      <c r="D34" s="9"/>
      <c r="E34" s="16" t="s">
        <v>49</v>
      </c>
      <c r="F34" s="1" t="s">
        <v>50</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row>
    <row r="35" ht="15.75" customHeight="1">
      <c r="A35" s="2"/>
      <c r="B35" s="14" t="s">
        <v>51</v>
      </c>
      <c r="C35" s="17">
        <v>0.0</v>
      </c>
      <c r="D35" s="9"/>
      <c r="E35" s="16" t="s">
        <v>49</v>
      </c>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row>
    <row r="36" ht="15.75" customHeight="1">
      <c r="A36" s="2"/>
      <c r="B36" s="7" t="s">
        <v>52</v>
      </c>
      <c r="C36" s="18">
        <v>5.0</v>
      </c>
      <c r="D36" s="9" t="s">
        <v>16</v>
      </c>
      <c r="E36" s="10" t="s">
        <v>53</v>
      </c>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row>
    <row r="37" ht="15.75" customHeight="1">
      <c r="A37" s="2"/>
      <c r="B37" s="7" t="s">
        <v>54</v>
      </c>
      <c r="C37" s="13">
        <v>0.14</v>
      </c>
      <c r="D37" s="9" t="s">
        <v>55</v>
      </c>
      <c r="E37" s="10"/>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row>
    <row r="38" ht="15.75" customHeight="1">
      <c r="A38" s="2"/>
      <c r="B38" s="7" t="s">
        <v>56</v>
      </c>
      <c r="C38" s="13">
        <v>0.135</v>
      </c>
      <c r="D38" s="9" t="s">
        <v>55</v>
      </c>
      <c r="E38" s="10"/>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ht="15.75" customHeight="1">
      <c r="A39" s="2"/>
      <c r="B39" s="7" t="s">
        <v>57</v>
      </c>
      <c r="C39" s="13">
        <v>0.13</v>
      </c>
      <c r="D39" s="9" t="s">
        <v>55</v>
      </c>
      <c r="E39" s="10"/>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ht="15.75" customHeight="1">
      <c r="A40" s="2"/>
      <c r="B40" s="7" t="s">
        <v>58</v>
      </c>
      <c r="C40" s="12">
        <v>4.0</v>
      </c>
      <c r="D40" s="9" t="s">
        <v>30</v>
      </c>
      <c r="E40" s="10"/>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ht="15.75" customHeight="1">
      <c r="A41" s="2"/>
      <c r="B41" s="7" t="s">
        <v>59</v>
      </c>
      <c r="C41" s="12">
        <v>6.0</v>
      </c>
      <c r="D41" s="9" t="s">
        <v>30</v>
      </c>
      <c r="E41" s="10"/>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ht="15.75" customHeight="1">
      <c r="A42" s="2"/>
      <c r="B42" s="7" t="s">
        <v>60</v>
      </c>
      <c r="C42" s="12">
        <v>8.0</v>
      </c>
      <c r="D42" s="9" t="s">
        <v>30</v>
      </c>
      <c r="E42" s="10"/>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row>
    <row r="43" ht="15.75" customHeight="1">
      <c r="A43" s="2"/>
      <c r="B43" s="7" t="s">
        <v>61</v>
      </c>
      <c r="C43" s="13">
        <v>0.5</v>
      </c>
      <c r="D43" s="9" t="s">
        <v>21</v>
      </c>
      <c r="E43" s="10" t="s">
        <v>62</v>
      </c>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row>
    <row r="44" ht="15.75" customHeight="1">
      <c r="A44" s="2"/>
      <c r="B44" s="7" t="s">
        <v>63</v>
      </c>
      <c r="C44" s="13">
        <v>0.6</v>
      </c>
      <c r="D44" s="9" t="s">
        <v>21</v>
      </c>
      <c r="E44" s="10" t="s">
        <v>64</v>
      </c>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row>
    <row r="45" ht="15.75" customHeight="1">
      <c r="A45" s="2"/>
      <c r="B45" s="7" t="s">
        <v>65</v>
      </c>
      <c r="C45" s="13">
        <v>0.7</v>
      </c>
      <c r="D45" s="9" t="s">
        <v>21</v>
      </c>
      <c r="E45" s="10" t="s">
        <v>66</v>
      </c>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ht="15.75" customHeight="1">
      <c r="A46" s="2"/>
      <c r="B46" s="7" t="s">
        <v>67</v>
      </c>
      <c r="C46" s="12">
        <v>10000.0</v>
      </c>
      <c r="D46" s="9" t="s">
        <v>68</v>
      </c>
      <c r="E46" s="10"/>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row>
    <row r="47" ht="15.75" customHeight="1">
      <c r="A47" s="2"/>
      <c r="B47" s="7" t="s">
        <v>69</v>
      </c>
      <c r="C47" s="12">
        <v>17500.0</v>
      </c>
      <c r="D47" s="9" t="s">
        <v>68</v>
      </c>
      <c r="E47" s="10"/>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ht="15.75" customHeight="1">
      <c r="A48" s="2"/>
      <c r="B48" s="7" t="s">
        <v>70</v>
      </c>
      <c r="C48" s="12">
        <v>25000.0</v>
      </c>
      <c r="D48" s="9" t="s">
        <v>68</v>
      </c>
      <c r="E48" s="10"/>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ht="15.75" customHeight="1">
      <c r="A49" s="2"/>
      <c r="B49" s="7" t="s">
        <v>71</v>
      </c>
      <c r="C49" s="12">
        <v>13500.0</v>
      </c>
      <c r="D49" s="9" t="s">
        <v>68</v>
      </c>
      <c r="E49" s="10"/>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ht="15.75" customHeight="1">
      <c r="A50" s="2"/>
      <c r="B50" s="7" t="s">
        <v>72</v>
      </c>
      <c r="C50" s="19" t="s">
        <v>73</v>
      </c>
      <c r="D50" s="9" t="s">
        <v>74</v>
      </c>
      <c r="E50" s="10"/>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ht="15.75" customHeight="1">
      <c r="A51" s="2"/>
      <c r="B51" s="7" t="s">
        <v>75</v>
      </c>
      <c r="C51" s="19" t="s">
        <v>76</v>
      </c>
      <c r="D51" s="9" t="s">
        <v>74</v>
      </c>
      <c r="E51" s="10"/>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row>
    <row r="52" ht="15.75" customHeight="1">
      <c r="A52" s="2"/>
      <c r="B52" s="7" t="s">
        <v>77</v>
      </c>
      <c r="C52" s="19" t="s">
        <v>78</v>
      </c>
      <c r="D52" s="9" t="s">
        <v>74</v>
      </c>
      <c r="E52" s="10"/>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row>
    <row r="53" ht="15.75" customHeight="1">
      <c r="A53" s="2"/>
      <c r="B53" s="20" t="s">
        <v>79</v>
      </c>
      <c r="C53" s="20">
        <v>725.76</v>
      </c>
      <c r="D53" s="20" t="s">
        <v>80</v>
      </c>
      <c r="E53" s="20" t="s">
        <v>81</v>
      </c>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ht="15.75" customHeight="1">
      <c r="A54" s="2"/>
      <c r="B54" s="21" t="s">
        <v>82</v>
      </c>
      <c r="C54" s="22"/>
      <c r="D54" s="22"/>
      <c r="E54" s="23"/>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ht="21.75" customHeight="1">
      <c r="A55" s="2"/>
      <c r="B55" s="24" t="s">
        <v>83</v>
      </c>
      <c r="C55" s="22"/>
      <c r="D55" s="22"/>
      <c r="E55" s="23"/>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ht="15.75" customHeight="1">
      <c r="A56" s="2"/>
      <c r="B56" s="7" t="s">
        <v>84</v>
      </c>
      <c r="C56" s="25">
        <v>5.5</v>
      </c>
      <c r="D56" s="9" t="s">
        <v>11</v>
      </c>
      <c r="E56" s="10"/>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row>
    <row r="57" ht="15.75" customHeight="1">
      <c r="A57" s="2"/>
      <c r="B57" s="7" t="s">
        <v>85</v>
      </c>
      <c r="C57" s="8">
        <v>8.5</v>
      </c>
      <c r="D57" s="9" t="s">
        <v>11</v>
      </c>
      <c r="E57" s="10"/>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row>
    <row r="58" ht="15.75" customHeight="1">
      <c r="A58" s="2"/>
      <c r="B58" s="7" t="s">
        <v>86</v>
      </c>
      <c r="C58" s="8">
        <v>10.0</v>
      </c>
      <c r="D58" s="9" t="s">
        <v>11</v>
      </c>
      <c r="E58" s="10"/>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row>
    <row r="59" ht="15.75" customHeight="1">
      <c r="A59" s="2"/>
      <c r="B59" s="7" t="s">
        <v>87</v>
      </c>
      <c r="C59" s="25">
        <v>2.5</v>
      </c>
      <c r="D59" s="9" t="s">
        <v>11</v>
      </c>
      <c r="E59" s="10"/>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row>
    <row r="60" ht="15.75" customHeight="1">
      <c r="A60" s="2"/>
      <c r="B60" s="7" t="s">
        <v>88</v>
      </c>
      <c r="C60" s="8">
        <v>2.0</v>
      </c>
      <c r="D60" s="9" t="s">
        <v>11</v>
      </c>
      <c r="E60" s="10"/>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row>
    <row r="61" ht="15.75" customHeight="1">
      <c r="A61" s="2"/>
      <c r="B61" s="7" t="s">
        <v>89</v>
      </c>
      <c r="C61" s="25">
        <v>2.3</v>
      </c>
      <c r="D61" s="9" t="s">
        <v>11</v>
      </c>
      <c r="E61" s="10"/>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ht="15.75" customHeight="1">
      <c r="A62" s="2"/>
      <c r="B62" s="7" t="s">
        <v>90</v>
      </c>
      <c r="C62" s="25">
        <v>15.1</v>
      </c>
      <c r="D62" s="9" t="s">
        <v>11</v>
      </c>
      <c r="E62" s="10"/>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ht="15.75" customHeight="1">
      <c r="A63" s="2"/>
      <c r="B63" s="7" t="s">
        <v>91</v>
      </c>
      <c r="C63" s="8">
        <v>4.5</v>
      </c>
      <c r="D63" s="9" t="s">
        <v>11</v>
      </c>
      <c r="E63" s="10"/>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ht="15.75" customHeight="1">
      <c r="A64" s="2"/>
      <c r="B64" s="7" t="s">
        <v>92</v>
      </c>
      <c r="C64" s="25">
        <v>1.0</v>
      </c>
      <c r="D64" s="9" t="s">
        <v>11</v>
      </c>
      <c r="E64" s="10"/>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ht="15.75" customHeight="1">
      <c r="A65" s="2"/>
      <c r="B65" s="7" t="s">
        <v>93</v>
      </c>
      <c r="C65" s="8">
        <v>1.5</v>
      </c>
      <c r="D65" s="9" t="s">
        <v>11</v>
      </c>
      <c r="E65" s="10"/>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ht="15.75" customHeight="1">
      <c r="A66" s="2"/>
      <c r="B66" s="1" t="s">
        <v>94</v>
      </c>
      <c r="C66" s="1">
        <v>0.0</v>
      </c>
      <c r="D66" s="1" t="s">
        <v>95</v>
      </c>
      <c r="E66" s="1" t="s">
        <v>96</v>
      </c>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ht="15.0" customHeight="1">
      <c r="A68" s="2"/>
      <c r="B68" s="3" t="s">
        <v>97</v>
      </c>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5"/>
    </row>
    <row r="69" ht="15.0" customHeight="1">
      <c r="A69" s="2"/>
      <c r="B69" s="26" t="s">
        <v>98</v>
      </c>
      <c r="C69" s="4"/>
      <c r="D69" s="4"/>
      <c r="E69" s="4"/>
      <c r="F69" s="4"/>
      <c r="G69" s="4"/>
      <c r="H69" s="4"/>
      <c r="I69" s="4"/>
      <c r="J69" s="4"/>
      <c r="K69" s="4"/>
      <c r="L69" s="4"/>
      <c r="M69" s="4"/>
      <c r="N69" s="5"/>
      <c r="O69" s="2"/>
      <c r="P69" s="26" t="s">
        <v>99</v>
      </c>
      <c r="Q69" s="4"/>
      <c r="R69" s="4"/>
      <c r="S69" s="4"/>
      <c r="T69" s="4"/>
      <c r="U69" s="4"/>
      <c r="V69" s="4"/>
      <c r="W69" s="4"/>
      <c r="X69" s="4"/>
      <c r="Y69" s="4"/>
      <c r="Z69" s="4"/>
      <c r="AA69" s="4"/>
      <c r="AB69" s="5"/>
      <c r="AC69" s="2"/>
      <c r="AD69" s="26" t="s">
        <v>100</v>
      </c>
      <c r="AE69" s="4"/>
      <c r="AF69" s="4"/>
      <c r="AG69" s="4"/>
      <c r="AH69" s="4"/>
      <c r="AI69" s="4"/>
      <c r="AJ69" s="4"/>
      <c r="AK69" s="4"/>
      <c r="AL69" s="4"/>
      <c r="AM69" s="4"/>
      <c r="AN69" s="4"/>
      <c r="AO69" s="4"/>
      <c r="AP69" s="5"/>
    </row>
    <row r="70" ht="15.75" customHeight="1">
      <c r="A70" s="2"/>
      <c r="B70" s="27" t="s">
        <v>101</v>
      </c>
      <c r="C70" s="27" t="s">
        <v>102</v>
      </c>
      <c r="D70" s="27" t="s">
        <v>103</v>
      </c>
      <c r="E70" s="27" t="s">
        <v>104</v>
      </c>
      <c r="F70" s="27" t="s">
        <v>105</v>
      </c>
      <c r="G70" s="27" t="s">
        <v>106</v>
      </c>
      <c r="H70" s="27" t="s">
        <v>107</v>
      </c>
      <c r="I70" s="27" t="s">
        <v>108</v>
      </c>
      <c r="J70" s="27" t="s">
        <v>109</v>
      </c>
      <c r="K70" s="27" t="s">
        <v>110</v>
      </c>
      <c r="L70" s="27" t="s">
        <v>111</v>
      </c>
      <c r="M70" s="27" t="s">
        <v>112</v>
      </c>
      <c r="N70" s="27" t="s">
        <v>113</v>
      </c>
      <c r="O70" s="2"/>
      <c r="P70" s="27" t="s">
        <v>101</v>
      </c>
      <c r="Q70" s="27" t="s">
        <v>102</v>
      </c>
      <c r="R70" s="27" t="s">
        <v>103</v>
      </c>
      <c r="S70" s="27" t="s">
        <v>104</v>
      </c>
      <c r="T70" s="27" t="s">
        <v>105</v>
      </c>
      <c r="U70" s="27" t="s">
        <v>106</v>
      </c>
      <c r="V70" s="27" t="s">
        <v>107</v>
      </c>
      <c r="W70" s="27" t="s">
        <v>108</v>
      </c>
      <c r="X70" s="27" t="s">
        <v>109</v>
      </c>
      <c r="Y70" s="27" t="s">
        <v>110</v>
      </c>
      <c r="Z70" s="27" t="s">
        <v>111</v>
      </c>
      <c r="AA70" s="27" t="s">
        <v>112</v>
      </c>
      <c r="AB70" s="27" t="s">
        <v>113</v>
      </c>
      <c r="AC70" s="2"/>
      <c r="AD70" s="27" t="s">
        <v>101</v>
      </c>
      <c r="AE70" s="27" t="s">
        <v>102</v>
      </c>
      <c r="AF70" s="27" t="s">
        <v>103</v>
      </c>
      <c r="AG70" s="27" t="s">
        <v>104</v>
      </c>
      <c r="AH70" s="27" t="s">
        <v>105</v>
      </c>
      <c r="AI70" s="27" t="s">
        <v>106</v>
      </c>
      <c r="AJ70" s="27" t="s">
        <v>107</v>
      </c>
      <c r="AK70" s="27" t="s">
        <v>108</v>
      </c>
      <c r="AL70" s="27" t="s">
        <v>109</v>
      </c>
      <c r="AM70" s="27" t="s">
        <v>110</v>
      </c>
      <c r="AN70" s="27" t="s">
        <v>111</v>
      </c>
      <c r="AO70" s="27" t="s">
        <v>112</v>
      </c>
      <c r="AP70" s="27" t="s">
        <v>113</v>
      </c>
    </row>
    <row r="71" ht="15.75" customHeight="1">
      <c r="A71" s="2"/>
      <c r="B71" s="7" t="s">
        <v>114</v>
      </c>
      <c r="C71" s="9" t="s">
        <v>115</v>
      </c>
      <c r="D71" s="28">
        <v>1.0</v>
      </c>
      <c r="E71" s="29">
        <v>215000.0</v>
      </c>
      <c r="F71" s="30">
        <f t="shared" ref="F71:F77" si="1">D71*E71</f>
        <v>215000</v>
      </c>
      <c r="G71" s="8">
        <v>11.19</v>
      </c>
      <c r="H71" s="31">
        <f>$C$22</f>
        <v>0.7</v>
      </c>
      <c r="I71" s="32">
        <f t="shared" ref="I71:I73" si="2">8*H71</f>
        <v>5.6</v>
      </c>
      <c r="J71" s="33">
        <f t="shared" ref="J71:J73" si="3">$C$10</f>
        <v>25</v>
      </c>
      <c r="K71" s="34">
        <f t="shared" ref="K71:K73" si="4">D71*G71*I71*J71</f>
        <v>1566.6</v>
      </c>
      <c r="L71" s="34">
        <f t="shared" ref="L71:L73" si="5">K71*$C$8</f>
        <v>1723.26</v>
      </c>
      <c r="M71" s="30">
        <f t="shared" ref="M71:M73" si="6">L71*$C$5</f>
        <v>5169.78</v>
      </c>
      <c r="N71" s="35"/>
      <c r="O71" s="2"/>
      <c r="P71" s="7" t="s">
        <v>116</v>
      </c>
      <c r="Q71" s="9" t="s">
        <v>117</v>
      </c>
      <c r="R71" s="28">
        <v>1.0</v>
      </c>
      <c r="S71" s="29">
        <v>425000.0</v>
      </c>
      <c r="T71" s="30">
        <f t="shared" ref="T71:T80" si="7">R71*S71</f>
        <v>425000</v>
      </c>
      <c r="U71" s="8">
        <v>7.5</v>
      </c>
      <c r="V71" s="31">
        <f t="shared" ref="V71:V72" si="8">$C$22</f>
        <v>0.7</v>
      </c>
      <c r="W71" s="32">
        <f t="shared" ref="W71:W76" si="9">8*V71</f>
        <v>5.6</v>
      </c>
      <c r="X71" s="33">
        <f t="shared" ref="X71:X76" si="10">$C$10</f>
        <v>25</v>
      </c>
      <c r="Y71" s="34">
        <f t="shared" ref="Y71:Y75" si="11">R71*U71*W71*X71</f>
        <v>1050</v>
      </c>
      <c r="Z71" s="34">
        <f t="shared" ref="Z71:Z75" si="12">Y71*$C$8</f>
        <v>1155</v>
      </c>
      <c r="AA71" s="30">
        <f t="shared" ref="AA71:AA75" si="13">Z71*$C$5</f>
        <v>3465</v>
      </c>
      <c r="AB71" s="35"/>
      <c r="AC71" s="2"/>
      <c r="AD71" s="7" t="s">
        <v>118</v>
      </c>
      <c r="AE71" s="9" t="s">
        <v>119</v>
      </c>
      <c r="AF71" s="28">
        <v>1.0</v>
      </c>
      <c r="AG71" s="29">
        <v>850000.0</v>
      </c>
      <c r="AH71" s="30">
        <f t="shared" ref="AH71:AH80" si="14">AF71*AG71</f>
        <v>850000</v>
      </c>
      <c r="AI71" s="8">
        <v>22.0</v>
      </c>
      <c r="AJ71" s="31">
        <f t="shared" ref="AJ71:AJ72" si="15">$C$22</f>
        <v>0.7</v>
      </c>
      <c r="AK71" s="32">
        <f t="shared" ref="AK71:AK73" si="16">8*AJ71</f>
        <v>5.6</v>
      </c>
      <c r="AL71" s="33">
        <f t="shared" ref="AL71:AL73" si="17">$C$10</f>
        <v>25</v>
      </c>
      <c r="AM71" s="34">
        <f t="shared" ref="AM71:AM73" si="18">AF71*AI71*AK71*AL71</f>
        <v>3080</v>
      </c>
      <c r="AN71" s="34">
        <f t="shared" ref="AN71:AN73" si="19">AM71*$C$8</f>
        <v>3388</v>
      </c>
      <c r="AO71" s="30">
        <f t="shared" ref="AO71:AO73" si="20">AN71*$C$5</f>
        <v>10164</v>
      </c>
      <c r="AP71" s="35"/>
    </row>
    <row r="72" ht="15.75" customHeight="1">
      <c r="A72" s="2"/>
      <c r="B72" s="7" t="s">
        <v>120</v>
      </c>
      <c r="C72" s="9" t="s">
        <v>121</v>
      </c>
      <c r="D72" s="28">
        <v>1.0</v>
      </c>
      <c r="E72" s="29">
        <v>10000.0</v>
      </c>
      <c r="F72" s="30">
        <f t="shared" si="1"/>
        <v>10000</v>
      </c>
      <c r="G72" s="8">
        <v>0.1</v>
      </c>
      <c r="H72" s="31">
        <f t="shared" ref="H72:H73" si="21">$C$24</f>
        <v>0.4</v>
      </c>
      <c r="I72" s="32">
        <f t="shared" si="2"/>
        <v>3.2</v>
      </c>
      <c r="J72" s="33">
        <f t="shared" si="3"/>
        <v>25</v>
      </c>
      <c r="K72" s="34">
        <f t="shared" si="4"/>
        <v>8</v>
      </c>
      <c r="L72" s="34">
        <f t="shared" si="5"/>
        <v>8.8</v>
      </c>
      <c r="M72" s="30">
        <f t="shared" si="6"/>
        <v>26.4</v>
      </c>
      <c r="N72" s="35"/>
      <c r="O72" s="2"/>
      <c r="P72" s="7" t="s">
        <v>122</v>
      </c>
      <c r="Q72" s="9" t="s">
        <v>123</v>
      </c>
      <c r="R72" s="28">
        <v>1.0</v>
      </c>
      <c r="S72" s="29">
        <v>215000.0</v>
      </c>
      <c r="T72" s="30">
        <f t="shared" si="7"/>
        <v>215000</v>
      </c>
      <c r="U72" s="8">
        <v>11.19</v>
      </c>
      <c r="V72" s="31">
        <f t="shared" si="8"/>
        <v>0.7</v>
      </c>
      <c r="W72" s="32">
        <f t="shared" si="9"/>
        <v>5.6</v>
      </c>
      <c r="X72" s="33">
        <f t="shared" si="10"/>
        <v>25</v>
      </c>
      <c r="Y72" s="34">
        <f t="shared" si="11"/>
        <v>1566.6</v>
      </c>
      <c r="Z72" s="34">
        <f t="shared" si="12"/>
        <v>1723.26</v>
      </c>
      <c r="AA72" s="30">
        <f t="shared" si="13"/>
        <v>5169.78</v>
      </c>
      <c r="AB72" s="35"/>
      <c r="AC72" s="2"/>
      <c r="AD72" s="7" t="s">
        <v>124</v>
      </c>
      <c r="AE72" s="9" t="s">
        <v>117</v>
      </c>
      <c r="AF72" s="28">
        <v>2.0</v>
      </c>
      <c r="AG72" s="29">
        <v>500000.0</v>
      </c>
      <c r="AH72" s="30">
        <f t="shared" si="14"/>
        <v>1000000</v>
      </c>
      <c r="AI72" s="8">
        <v>11.0</v>
      </c>
      <c r="AJ72" s="31">
        <f t="shared" si="15"/>
        <v>0.7</v>
      </c>
      <c r="AK72" s="32">
        <f t="shared" si="16"/>
        <v>5.6</v>
      </c>
      <c r="AL72" s="33">
        <f t="shared" si="17"/>
        <v>25</v>
      </c>
      <c r="AM72" s="34">
        <f t="shared" si="18"/>
        <v>3080</v>
      </c>
      <c r="AN72" s="34">
        <f t="shared" si="19"/>
        <v>3388</v>
      </c>
      <c r="AO72" s="30">
        <f t="shared" si="20"/>
        <v>10164</v>
      </c>
      <c r="AP72" s="35"/>
    </row>
    <row r="73" ht="15.75" customHeight="1">
      <c r="A73" s="2"/>
      <c r="B73" s="7" t="s">
        <v>125</v>
      </c>
      <c r="C73" s="9" t="s">
        <v>126</v>
      </c>
      <c r="D73" s="28">
        <v>1.0</v>
      </c>
      <c r="E73" s="29">
        <v>3800.0</v>
      </c>
      <c r="F73" s="30">
        <f t="shared" si="1"/>
        <v>3800</v>
      </c>
      <c r="G73" s="8">
        <v>0.05</v>
      </c>
      <c r="H73" s="31">
        <f t="shared" si="21"/>
        <v>0.4</v>
      </c>
      <c r="I73" s="32">
        <f t="shared" si="2"/>
        <v>3.2</v>
      </c>
      <c r="J73" s="33">
        <f t="shared" si="3"/>
        <v>25</v>
      </c>
      <c r="K73" s="34">
        <f t="shared" si="4"/>
        <v>4</v>
      </c>
      <c r="L73" s="34">
        <f t="shared" si="5"/>
        <v>4.4</v>
      </c>
      <c r="M73" s="30">
        <f t="shared" si="6"/>
        <v>13.2</v>
      </c>
      <c r="N73" s="35"/>
      <c r="O73" s="2"/>
      <c r="P73" s="7" t="s">
        <v>127</v>
      </c>
      <c r="Q73" s="9" t="s">
        <v>128</v>
      </c>
      <c r="R73" s="28">
        <v>1.0</v>
      </c>
      <c r="S73" s="29">
        <v>19000.0</v>
      </c>
      <c r="T73" s="30">
        <f t="shared" si="7"/>
        <v>19000</v>
      </c>
      <c r="U73" s="8">
        <v>0.1</v>
      </c>
      <c r="V73" s="31">
        <f t="shared" ref="V73:V74" si="22">$C$24</f>
        <v>0.4</v>
      </c>
      <c r="W73" s="32">
        <f t="shared" si="9"/>
        <v>3.2</v>
      </c>
      <c r="X73" s="33">
        <f t="shared" si="10"/>
        <v>25</v>
      </c>
      <c r="Y73" s="34">
        <f t="shared" si="11"/>
        <v>8</v>
      </c>
      <c r="Z73" s="34">
        <f t="shared" si="12"/>
        <v>8.8</v>
      </c>
      <c r="AA73" s="30">
        <f t="shared" si="13"/>
        <v>26.4</v>
      </c>
      <c r="AB73" s="35"/>
      <c r="AC73" s="2"/>
      <c r="AD73" s="7" t="s">
        <v>127</v>
      </c>
      <c r="AE73" s="9" t="s">
        <v>128</v>
      </c>
      <c r="AF73" s="28">
        <v>2.0</v>
      </c>
      <c r="AG73" s="29">
        <v>19000.0</v>
      </c>
      <c r="AH73" s="30">
        <f t="shared" si="14"/>
        <v>38000</v>
      </c>
      <c r="AI73" s="8">
        <v>0.1</v>
      </c>
      <c r="AJ73" s="31">
        <f>$C$24</f>
        <v>0.4</v>
      </c>
      <c r="AK73" s="32">
        <f t="shared" si="16"/>
        <v>3.2</v>
      </c>
      <c r="AL73" s="33">
        <f t="shared" si="17"/>
        <v>25</v>
      </c>
      <c r="AM73" s="34">
        <f t="shared" si="18"/>
        <v>16</v>
      </c>
      <c r="AN73" s="34">
        <f t="shared" si="19"/>
        <v>17.6</v>
      </c>
      <c r="AO73" s="30">
        <f t="shared" si="20"/>
        <v>52.8</v>
      </c>
      <c r="AP73" s="35"/>
    </row>
    <row r="74" ht="15.75" customHeight="1">
      <c r="A74" s="2"/>
      <c r="B74" s="7" t="s">
        <v>129</v>
      </c>
      <c r="C74" s="9" t="s">
        <v>130</v>
      </c>
      <c r="D74" s="28">
        <v>2.0</v>
      </c>
      <c r="E74" s="29">
        <v>8000.0</v>
      </c>
      <c r="F74" s="30">
        <f t="shared" si="1"/>
        <v>16000</v>
      </c>
      <c r="G74" s="8">
        <v>0.0</v>
      </c>
      <c r="H74" s="31">
        <f>$C$25</f>
        <v>0.6</v>
      </c>
      <c r="I74" s="36"/>
      <c r="J74" s="36"/>
      <c r="K74" s="34">
        <v>0.0</v>
      </c>
      <c r="L74" s="34">
        <v>0.0</v>
      </c>
      <c r="M74" s="30">
        <v>0.0</v>
      </c>
      <c r="N74" s="35"/>
      <c r="O74" s="2"/>
      <c r="P74" s="7" t="s">
        <v>131</v>
      </c>
      <c r="Q74" s="9" t="s">
        <v>126</v>
      </c>
      <c r="R74" s="28">
        <v>2.0</v>
      </c>
      <c r="S74" s="29">
        <v>3800.0</v>
      </c>
      <c r="T74" s="30">
        <f t="shared" si="7"/>
        <v>7600</v>
      </c>
      <c r="U74" s="8">
        <v>0.05</v>
      </c>
      <c r="V74" s="31">
        <f t="shared" si="22"/>
        <v>0.4</v>
      </c>
      <c r="W74" s="32">
        <f t="shared" si="9"/>
        <v>3.2</v>
      </c>
      <c r="X74" s="33">
        <f t="shared" si="10"/>
        <v>25</v>
      </c>
      <c r="Y74" s="34">
        <f t="shared" si="11"/>
        <v>8</v>
      </c>
      <c r="Z74" s="34">
        <f t="shared" si="12"/>
        <v>8.8</v>
      </c>
      <c r="AA74" s="30">
        <f t="shared" si="13"/>
        <v>26.4</v>
      </c>
      <c r="AB74" s="35"/>
      <c r="AC74" s="2"/>
      <c r="AD74" s="7" t="s">
        <v>132</v>
      </c>
      <c r="AE74" s="9" t="s">
        <v>123</v>
      </c>
      <c r="AF74" s="28">
        <v>1.0</v>
      </c>
      <c r="AG74" s="29">
        <v>180000.0</v>
      </c>
      <c r="AH74" s="30">
        <f t="shared" si="14"/>
        <v>180000</v>
      </c>
      <c r="AI74" s="8">
        <v>0.0</v>
      </c>
      <c r="AJ74" s="37"/>
      <c r="AK74" s="36"/>
      <c r="AL74" s="36"/>
      <c r="AM74" s="34">
        <v>0.0</v>
      </c>
      <c r="AN74" s="34">
        <v>0.0</v>
      </c>
      <c r="AO74" s="30">
        <v>0.0</v>
      </c>
      <c r="AP74" s="35"/>
    </row>
    <row r="75" ht="15.75" customHeight="1">
      <c r="A75" s="2"/>
      <c r="B75" s="7" t="s">
        <v>133</v>
      </c>
      <c r="C75" s="9" t="s">
        <v>130</v>
      </c>
      <c r="D75" s="28">
        <v>10.0</v>
      </c>
      <c r="E75" s="29">
        <v>5500.0</v>
      </c>
      <c r="F75" s="30">
        <f t="shared" si="1"/>
        <v>55000</v>
      </c>
      <c r="G75" s="8">
        <v>0.0</v>
      </c>
      <c r="H75" s="37"/>
      <c r="I75" s="36"/>
      <c r="J75" s="36"/>
      <c r="K75" s="34">
        <v>0.0</v>
      </c>
      <c r="L75" s="34">
        <v>0.0</v>
      </c>
      <c r="M75" s="30">
        <v>0.0</v>
      </c>
      <c r="N75" s="35"/>
      <c r="O75" s="2"/>
      <c r="P75" s="7" t="s">
        <v>134</v>
      </c>
      <c r="Q75" s="9" t="s">
        <v>123</v>
      </c>
      <c r="R75" s="28">
        <v>1.0</v>
      </c>
      <c r="S75" s="29">
        <v>120000.0</v>
      </c>
      <c r="T75" s="30">
        <f t="shared" si="7"/>
        <v>120000</v>
      </c>
      <c r="U75" s="8">
        <v>2.2</v>
      </c>
      <c r="V75" s="31">
        <f>$C$23</f>
        <v>0.85</v>
      </c>
      <c r="W75" s="32">
        <f t="shared" si="9"/>
        <v>6.8</v>
      </c>
      <c r="X75" s="33">
        <f t="shared" si="10"/>
        <v>25</v>
      </c>
      <c r="Y75" s="34">
        <f t="shared" si="11"/>
        <v>374</v>
      </c>
      <c r="Z75" s="34">
        <f t="shared" si="12"/>
        <v>411.4</v>
      </c>
      <c r="AA75" s="30">
        <f t="shared" si="13"/>
        <v>1234.2</v>
      </c>
      <c r="AB75" s="35"/>
      <c r="AC75" s="2"/>
      <c r="AD75" s="7" t="s">
        <v>135</v>
      </c>
      <c r="AE75" s="9" t="s">
        <v>123</v>
      </c>
      <c r="AF75" s="28">
        <v>2.0</v>
      </c>
      <c r="AG75" s="29">
        <v>350000.0</v>
      </c>
      <c r="AH75" s="30">
        <f t="shared" si="14"/>
        <v>700000</v>
      </c>
      <c r="AI75" s="8">
        <v>4.0</v>
      </c>
      <c r="AJ75" s="31">
        <f>$C$23</f>
        <v>0.85</v>
      </c>
      <c r="AK75" s="32">
        <f t="shared" ref="AK75:AK76" si="23">8*AJ75</f>
        <v>6.8</v>
      </c>
      <c r="AL75" s="33">
        <f t="shared" ref="AL75:AL76" si="24">$C$10</f>
        <v>25</v>
      </c>
      <c r="AM75" s="34">
        <f>AF75*AI75*AK75*AL75</f>
        <v>1360</v>
      </c>
      <c r="AN75" s="34">
        <f>AM75*$C$8</f>
        <v>1496</v>
      </c>
      <c r="AO75" s="30">
        <f>AN75*$C$5</f>
        <v>4488</v>
      </c>
      <c r="AP75" s="35"/>
    </row>
    <row r="76" ht="15.75" customHeight="1">
      <c r="A76" s="2"/>
      <c r="B76" s="7" t="s">
        <v>136</v>
      </c>
      <c r="C76" s="9" t="s">
        <v>137</v>
      </c>
      <c r="D76" s="28">
        <v>1.0</v>
      </c>
      <c r="E76" s="29">
        <v>25000.0</v>
      </c>
      <c r="F76" s="30">
        <f t="shared" si="1"/>
        <v>25000</v>
      </c>
      <c r="G76" s="8">
        <v>0.2</v>
      </c>
      <c r="H76" s="31">
        <f>$C$23</f>
        <v>0.85</v>
      </c>
      <c r="I76" s="32">
        <f>8*H76</f>
        <v>6.8</v>
      </c>
      <c r="J76" s="33">
        <f>$C$10</f>
        <v>25</v>
      </c>
      <c r="K76" s="34">
        <f>D76*G76*I76*J76</f>
        <v>34</v>
      </c>
      <c r="L76" s="34">
        <f>K76*$C$8</f>
        <v>37.4</v>
      </c>
      <c r="M76" s="30">
        <f>L76*$C$5</f>
        <v>112.2</v>
      </c>
      <c r="N76" s="35"/>
      <c r="O76" s="2"/>
      <c r="P76" s="7" t="s">
        <v>138</v>
      </c>
      <c r="Q76" s="9" t="s">
        <v>139</v>
      </c>
      <c r="R76" s="28">
        <v>1.0</v>
      </c>
      <c r="S76" s="29">
        <v>425000.0</v>
      </c>
      <c r="T76" s="30">
        <f t="shared" si="7"/>
        <v>425000</v>
      </c>
      <c r="U76" s="8">
        <v>0.0</v>
      </c>
      <c r="V76" s="31">
        <f t="shared" ref="V76:V77" si="25">$C$25</f>
        <v>0.6</v>
      </c>
      <c r="W76" s="32">
        <f t="shared" si="9"/>
        <v>4.8</v>
      </c>
      <c r="X76" s="33">
        <f t="shared" si="10"/>
        <v>25</v>
      </c>
      <c r="Y76" s="34">
        <v>0.0</v>
      </c>
      <c r="Z76" s="34">
        <v>0.0</v>
      </c>
      <c r="AA76" s="30">
        <f>R76*2.5*W76*X76*$C$6</f>
        <v>5550</v>
      </c>
      <c r="AB76" s="35"/>
      <c r="AC76" s="2"/>
      <c r="AD76" s="7" t="s">
        <v>140</v>
      </c>
      <c r="AE76" s="9" t="s">
        <v>141</v>
      </c>
      <c r="AF76" s="28">
        <v>2.0</v>
      </c>
      <c r="AG76" s="29">
        <v>589500.0</v>
      </c>
      <c r="AH76" s="30">
        <f t="shared" si="14"/>
        <v>1179000</v>
      </c>
      <c r="AI76" s="8">
        <v>0.0</v>
      </c>
      <c r="AJ76" s="31">
        <f t="shared" ref="AJ76:AJ77" si="26">$C$25</f>
        <v>0.6</v>
      </c>
      <c r="AK76" s="32">
        <f t="shared" si="23"/>
        <v>4.8</v>
      </c>
      <c r="AL76" s="33">
        <f t="shared" si="24"/>
        <v>25</v>
      </c>
      <c r="AM76" s="34">
        <v>0.0</v>
      </c>
      <c r="AN76" s="34">
        <v>0.0</v>
      </c>
      <c r="AO76" s="30">
        <f>AF76*2.5*AK76*AL76*$C$6</f>
        <v>11100</v>
      </c>
      <c r="AP76" s="35"/>
    </row>
    <row r="77" ht="15.75" customHeight="1">
      <c r="A77" s="2"/>
      <c r="B77" s="7" t="s">
        <v>142</v>
      </c>
      <c r="C77" s="9" t="s">
        <v>143</v>
      </c>
      <c r="D77" s="28">
        <v>1.0</v>
      </c>
      <c r="E77" s="29">
        <v>15000.0</v>
      </c>
      <c r="F77" s="30">
        <f t="shared" si="1"/>
        <v>15000</v>
      </c>
      <c r="G77" s="8">
        <v>0.0</v>
      </c>
      <c r="H77" s="37"/>
      <c r="I77" s="36"/>
      <c r="J77" s="36"/>
      <c r="K77" s="34">
        <v>0.0</v>
      </c>
      <c r="L77" s="34">
        <v>0.0</v>
      </c>
      <c r="M77" s="30">
        <v>0.0</v>
      </c>
      <c r="N77" s="35"/>
      <c r="O77" s="2"/>
      <c r="P77" s="7" t="s">
        <v>129</v>
      </c>
      <c r="Q77" s="9" t="s">
        <v>130</v>
      </c>
      <c r="R77" s="28">
        <v>3.0</v>
      </c>
      <c r="S77" s="29">
        <v>8000.0</v>
      </c>
      <c r="T77" s="30">
        <f t="shared" si="7"/>
        <v>24000</v>
      </c>
      <c r="U77" s="8">
        <v>0.0</v>
      </c>
      <c r="V77" s="31">
        <f t="shared" si="25"/>
        <v>0.6</v>
      </c>
      <c r="W77" s="36"/>
      <c r="X77" s="36"/>
      <c r="Y77" s="34">
        <v>0.0</v>
      </c>
      <c r="Z77" s="34">
        <v>0.0</v>
      </c>
      <c r="AA77" s="30">
        <v>0.0</v>
      </c>
      <c r="AB77" s="35"/>
      <c r="AC77" s="2"/>
      <c r="AD77" s="7" t="s">
        <v>129</v>
      </c>
      <c r="AE77" s="9" t="s">
        <v>130</v>
      </c>
      <c r="AF77" s="28">
        <v>5.0</v>
      </c>
      <c r="AG77" s="29">
        <v>8000.0</v>
      </c>
      <c r="AH77" s="30">
        <f t="shared" si="14"/>
        <v>40000</v>
      </c>
      <c r="AI77" s="8">
        <v>0.0</v>
      </c>
      <c r="AJ77" s="31">
        <f t="shared" si="26"/>
        <v>0.6</v>
      </c>
      <c r="AK77" s="36"/>
      <c r="AL77" s="36"/>
      <c r="AM77" s="34">
        <v>0.0</v>
      </c>
      <c r="AN77" s="34">
        <v>0.0</v>
      </c>
      <c r="AO77" s="30">
        <v>0.0</v>
      </c>
      <c r="AP77" s="35"/>
    </row>
    <row r="78" ht="15.75" customHeight="1">
      <c r="A78" s="2"/>
      <c r="B78" s="38"/>
      <c r="C78" s="38"/>
      <c r="D78" s="38"/>
      <c r="E78" s="38"/>
      <c r="F78" s="38"/>
      <c r="G78" s="38"/>
      <c r="H78" s="38"/>
      <c r="I78" s="38"/>
      <c r="J78" s="38"/>
      <c r="K78" s="38"/>
      <c r="L78" s="38"/>
      <c r="M78" s="38"/>
      <c r="N78" s="38"/>
      <c r="O78" s="2"/>
      <c r="P78" s="7" t="s">
        <v>144</v>
      </c>
      <c r="Q78" s="9" t="s">
        <v>130</v>
      </c>
      <c r="R78" s="28">
        <v>25.0</v>
      </c>
      <c r="S78" s="29">
        <v>5500.0</v>
      </c>
      <c r="T78" s="30">
        <f t="shared" si="7"/>
        <v>137500</v>
      </c>
      <c r="U78" s="8">
        <v>0.0</v>
      </c>
      <c r="V78" s="37"/>
      <c r="W78" s="36"/>
      <c r="X78" s="36"/>
      <c r="Y78" s="34">
        <v>0.0</v>
      </c>
      <c r="Z78" s="34">
        <v>0.0</v>
      </c>
      <c r="AA78" s="30">
        <v>0.0</v>
      </c>
      <c r="AB78" s="35"/>
      <c r="AC78" s="2"/>
      <c r="AD78" s="7" t="s">
        <v>144</v>
      </c>
      <c r="AE78" s="9" t="s">
        <v>130</v>
      </c>
      <c r="AF78" s="28">
        <v>60.0</v>
      </c>
      <c r="AG78" s="29">
        <v>5500.0</v>
      </c>
      <c r="AH78" s="30">
        <f t="shared" si="14"/>
        <v>330000</v>
      </c>
      <c r="AI78" s="8">
        <v>0.0</v>
      </c>
      <c r="AJ78" s="37"/>
      <c r="AK78" s="36"/>
      <c r="AL78" s="36"/>
      <c r="AM78" s="34">
        <v>0.0</v>
      </c>
      <c r="AN78" s="34">
        <v>0.0</v>
      </c>
      <c r="AO78" s="30">
        <v>0.0</v>
      </c>
      <c r="AP78" s="35"/>
    </row>
    <row r="79" ht="15.75" customHeight="1">
      <c r="A79" s="2"/>
      <c r="B79" s="38"/>
      <c r="C79" s="38"/>
      <c r="D79" s="38"/>
      <c r="E79" s="38"/>
      <c r="F79" s="38"/>
      <c r="G79" s="38"/>
      <c r="H79" s="38"/>
      <c r="I79" s="38"/>
      <c r="J79" s="38"/>
      <c r="K79" s="38"/>
      <c r="L79" s="38"/>
      <c r="M79" s="38"/>
      <c r="N79" s="38"/>
      <c r="O79" s="2"/>
      <c r="P79" s="7" t="s">
        <v>145</v>
      </c>
      <c r="Q79" s="9" t="s">
        <v>137</v>
      </c>
      <c r="R79" s="28">
        <v>2.0</v>
      </c>
      <c r="S79" s="29">
        <v>35000.0</v>
      </c>
      <c r="T79" s="30">
        <f t="shared" si="7"/>
        <v>70000</v>
      </c>
      <c r="U79" s="8">
        <v>0.3</v>
      </c>
      <c r="V79" s="31">
        <f>$C$23</f>
        <v>0.85</v>
      </c>
      <c r="W79" s="32">
        <f>8*V79</f>
        <v>6.8</v>
      </c>
      <c r="X79" s="33">
        <f>$C$10</f>
        <v>25</v>
      </c>
      <c r="Y79" s="34">
        <f>R79*U79*W79*X79</f>
        <v>102</v>
      </c>
      <c r="Z79" s="34">
        <f>Y79*$C$8</f>
        <v>112.2</v>
      </c>
      <c r="AA79" s="30">
        <f>Z79*$C$5</f>
        <v>336.6</v>
      </c>
      <c r="AB79" s="35"/>
      <c r="AC79" s="2"/>
      <c r="AD79" s="7" t="s">
        <v>146</v>
      </c>
      <c r="AE79" s="9" t="s">
        <v>137</v>
      </c>
      <c r="AF79" s="28">
        <v>3.0</v>
      </c>
      <c r="AG79" s="29">
        <v>45000.0</v>
      </c>
      <c r="AH79" s="30">
        <f t="shared" si="14"/>
        <v>135000</v>
      </c>
      <c r="AI79" s="8">
        <v>0.0</v>
      </c>
      <c r="AJ79" s="37"/>
      <c r="AK79" s="36"/>
      <c r="AL79" s="36"/>
      <c r="AM79" s="34">
        <v>0.0</v>
      </c>
      <c r="AN79" s="34">
        <v>0.0</v>
      </c>
      <c r="AO79" s="30">
        <v>0.0</v>
      </c>
      <c r="AP79" s="35"/>
    </row>
    <row r="80" ht="15.75" customHeight="1">
      <c r="A80" s="2"/>
      <c r="B80" s="38"/>
      <c r="C80" s="38"/>
      <c r="D80" s="38"/>
      <c r="E80" s="38"/>
      <c r="F80" s="38"/>
      <c r="G80" s="38"/>
      <c r="H80" s="38"/>
      <c r="I80" s="38"/>
      <c r="J80" s="38"/>
      <c r="K80" s="38"/>
      <c r="L80" s="38"/>
      <c r="M80" s="38"/>
      <c r="N80" s="38"/>
      <c r="O80" s="2"/>
      <c r="P80" s="7" t="s">
        <v>142</v>
      </c>
      <c r="Q80" s="9" t="s">
        <v>143</v>
      </c>
      <c r="R80" s="28">
        <v>1.0</v>
      </c>
      <c r="S80" s="29">
        <v>30000.0</v>
      </c>
      <c r="T80" s="30">
        <f t="shared" si="7"/>
        <v>30000</v>
      </c>
      <c r="U80" s="8">
        <v>0.0</v>
      </c>
      <c r="V80" s="37"/>
      <c r="W80" s="36"/>
      <c r="X80" s="36"/>
      <c r="Y80" s="34">
        <v>0.0</v>
      </c>
      <c r="Z80" s="34">
        <v>0.0</v>
      </c>
      <c r="AA80" s="30">
        <v>0.0</v>
      </c>
      <c r="AB80" s="35"/>
      <c r="AC80" s="2"/>
      <c r="AD80" s="7" t="s">
        <v>142</v>
      </c>
      <c r="AE80" s="9" t="s">
        <v>143</v>
      </c>
      <c r="AF80" s="28">
        <v>1.0</v>
      </c>
      <c r="AG80" s="29">
        <v>60000.0</v>
      </c>
      <c r="AH80" s="30">
        <f t="shared" si="14"/>
        <v>60000</v>
      </c>
      <c r="AI80" s="8">
        <v>0.0</v>
      </c>
      <c r="AJ80" s="37"/>
      <c r="AK80" s="36"/>
      <c r="AL80" s="36"/>
      <c r="AM80" s="34">
        <v>0.0</v>
      </c>
      <c r="AN80" s="34">
        <v>0.0</v>
      </c>
      <c r="AO80" s="30">
        <v>0.0</v>
      </c>
      <c r="AP80" s="35"/>
    </row>
    <row r="81" ht="15.75" customHeight="1">
      <c r="A81" s="2"/>
      <c r="B81" s="39" t="s">
        <v>147</v>
      </c>
      <c r="C81" s="38"/>
      <c r="D81" s="38"/>
      <c r="E81" s="38"/>
      <c r="F81" s="40">
        <f>SUM(F71:F77)</f>
        <v>339800</v>
      </c>
      <c r="G81" s="38"/>
      <c r="H81" s="38"/>
      <c r="I81" s="38"/>
      <c r="J81" s="38"/>
      <c r="K81" s="41">
        <f t="shared" ref="K81:M81" si="27">SUM(K71:K77)</f>
        <v>1612.6</v>
      </c>
      <c r="L81" s="41">
        <f t="shared" si="27"/>
        <v>1773.86</v>
      </c>
      <c r="M81" s="40">
        <f t="shared" si="27"/>
        <v>5321.58</v>
      </c>
      <c r="N81" s="38"/>
      <c r="O81" s="2"/>
      <c r="P81" s="39" t="s">
        <v>147</v>
      </c>
      <c r="Q81" s="38"/>
      <c r="R81" s="38"/>
      <c r="S81" s="38"/>
      <c r="T81" s="40">
        <f>SUM(T71:T80)</f>
        <v>1473100</v>
      </c>
      <c r="U81" s="38"/>
      <c r="V81" s="38"/>
      <c r="W81" s="38"/>
      <c r="X81" s="38"/>
      <c r="Y81" s="41">
        <f t="shared" ref="Y81:AA81" si="28">SUM(Y71:Y80)</f>
        <v>3108.6</v>
      </c>
      <c r="Z81" s="41">
        <f t="shared" si="28"/>
        <v>3419.46</v>
      </c>
      <c r="AA81" s="40">
        <f t="shared" si="28"/>
        <v>15808.38</v>
      </c>
      <c r="AB81" s="38"/>
      <c r="AC81" s="2"/>
      <c r="AD81" s="39" t="s">
        <v>147</v>
      </c>
      <c r="AE81" s="38"/>
      <c r="AF81" s="38"/>
      <c r="AG81" s="38"/>
      <c r="AH81" s="40">
        <f>SUM(AH71:AH80)</f>
        <v>4512000</v>
      </c>
      <c r="AI81" s="38"/>
      <c r="AJ81" s="38"/>
      <c r="AK81" s="38"/>
      <c r="AL81" s="38"/>
      <c r="AM81" s="41">
        <f t="shared" ref="AM81:AO81" si="29">SUM(AM71:AM80)</f>
        <v>7536</v>
      </c>
      <c r="AN81" s="41">
        <f t="shared" si="29"/>
        <v>8289.6</v>
      </c>
      <c r="AO81" s="40">
        <f t="shared" si="29"/>
        <v>35968.8</v>
      </c>
      <c r="AP81" s="38"/>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ht="15.0" customHeight="1">
      <c r="A83" s="2"/>
      <c r="B83" s="3" t="s">
        <v>148</v>
      </c>
      <c r="C83" s="4"/>
      <c r="D83" s="4"/>
      <c r="E83" s="4"/>
      <c r="F83" s="4"/>
      <c r="G83" s="4"/>
      <c r="H83" s="5"/>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ht="15.75" customHeight="1">
      <c r="A84" s="2"/>
      <c r="B84" s="27" t="s">
        <v>149</v>
      </c>
      <c r="C84" s="27" t="s">
        <v>150</v>
      </c>
      <c r="D84" s="27" t="s">
        <v>151</v>
      </c>
      <c r="E84" s="27" t="s">
        <v>152</v>
      </c>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ht="15.75" customHeight="1">
      <c r="A85" s="2"/>
      <c r="B85" s="36" t="s">
        <v>153</v>
      </c>
      <c r="C85" s="42">
        <f>F81</f>
        <v>339800</v>
      </c>
      <c r="D85" s="42">
        <f>T81</f>
        <v>1473100</v>
      </c>
      <c r="E85" s="42">
        <f>AH81</f>
        <v>4512000</v>
      </c>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row>
    <row r="86" ht="15.75" customHeight="1">
      <c r="A86" s="2"/>
      <c r="B86" s="36" t="s">
        <v>154</v>
      </c>
      <c r="C86" s="43">
        <v>120000.0</v>
      </c>
      <c r="D86" s="43">
        <v>350000.0</v>
      </c>
      <c r="E86" s="43">
        <v>950000.0</v>
      </c>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row>
    <row r="87" ht="15.75" customHeight="1">
      <c r="A87" s="2"/>
      <c r="B87" s="36" t="s">
        <v>155</v>
      </c>
      <c r="C87" s="43">
        <v>45000.0</v>
      </c>
      <c r="D87" s="43">
        <v>65000.0</v>
      </c>
      <c r="E87" s="43">
        <v>95000.0</v>
      </c>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row>
    <row r="88" ht="15.75" customHeight="1">
      <c r="A88" s="2"/>
      <c r="B88" s="36" t="s">
        <v>156</v>
      </c>
      <c r="C88" s="42">
        <f t="shared" ref="C88:E88" si="30">2*C104</f>
        <v>221676.16</v>
      </c>
      <c r="D88" s="42">
        <f t="shared" si="30"/>
        <v>640707.9267</v>
      </c>
      <c r="E88" s="42">
        <f t="shared" si="30"/>
        <v>1574655.267</v>
      </c>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row>
    <row r="89" ht="15.75" customHeight="1">
      <c r="A89" s="2"/>
      <c r="B89" s="44" t="s">
        <v>157</v>
      </c>
      <c r="C89" s="40">
        <f t="shared" ref="C89:E89" si="31">SUM(C85:C88)</f>
        <v>726476.16</v>
      </c>
      <c r="D89" s="40">
        <f t="shared" si="31"/>
        <v>2528807.927</v>
      </c>
      <c r="E89" s="40">
        <f t="shared" si="31"/>
        <v>7131655.267</v>
      </c>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row>
    <row r="90" ht="15.75" customHeight="1">
      <c r="A90" s="2"/>
      <c r="B90" s="36" t="s">
        <v>158</v>
      </c>
      <c r="C90" s="42">
        <f>C89/5</f>
        <v>145295.232</v>
      </c>
      <c r="D90" s="42">
        <f>D89/15</f>
        <v>168587.1951</v>
      </c>
      <c r="E90" s="42">
        <f>E89/50</f>
        <v>142633.1053</v>
      </c>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row>
    <row r="93" ht="15.0" customHeight="1">
      <c r="A93" s="2"/>
      <c r="B93" s="3" t="s">
        <v>159</v>
      </c>
      <c r="C93" s="4"/>
      <c r="D93" s="4"/>
      <c r="E93" s="4"/>
      <c r="F93" s="4"/>
      <c r="G93" s="4"/>
      <c r="H93" s="5"/>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row>
    <row r="94" ht="15.75" customHeight="1">
      <c r="A94" s="2"/>
      <c r="B94" s="27" t="s">
        <v>149</v>
      </c>
      <c r="C94" s="27" t="s">
        <v>160</v>
      </c>
      <c r="D94" s="27" t="s">
        <v>161</v>
      </c>
      <c r="E94" s="27" t="s">
        <v>162</v>
      </c>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row>
    <row r="95" ht="15.75" customHeight="1">
      <c r="A95" s="2"/>
      <c r="B95" s="36" t="s">
        <v>163</v>
      </c>
      <c r="C95" s="42">
        <f>200*$C$12</f>
        <v>13000</v>
      </c>
      <c r="D95" s="42">
        <f>500*$C$12</f>
        <v>32500</v>
      </c>
      <c r="E95" s="42">
        <f>1500*$C$12</f>
        <v>97500</v>
      </c>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row>
    <row r="96" ht="15.75" customHeight="1">
      <c r="A96" s="2"/>
      <c r="B96" s="36" t="s">
        <v>164</v>
      </c>
      <c r="C96" s="42">
        <f>L81*$C$5</f>
        <v>5321.58</v>
      </c>
      <c r="D96" s="42">
        <f>Z81*$C$5</f>
        <v>10258.38</v>
      </c>
      <c r="E96" s="42">
        <f>AN81*$C$5</f>
        <v>24868.8</v>
      </c>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row>
    <row r="97" ht="15.75" customHeight="1">
      <c r="A97" s="2"/>
      <c r="B97" s="36" t="s">
        <v>165</v>
      </c>
      <c r="C97" s="42">
        <v>0.0</v>
      </c>
      <c r="D97" s="42">
        <f>AA76</f>
        <v>5550</v>
      </c>
      <c r="E97" s="42">
        <f>AO76</f>
        <v>11100</v>
      </c>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row>
    <row r="98" ht="15.75" customHeight="1">
      <c r="A98" s="2"/>
      <c r="B98" s="36" t="s">
        <v>166</v>
      </c>
      <c r="C98" s="42">
        <f>(4*$C$46+1*$C$47)*$C$13</f>
        <v>77625</v>
      </c>
      <c r="D98" s="42">
        <f>(10*$C$46+2*$C$47+1*$C$48+1*$C$49)*$C$13</f>
        <v>234225</v>
      </c>
      <c r="E98" s="42">
        <f>(25*$C$46+4*$C$47+2*$C$48+3*$C$49)*$C$13</f>
        <v>554175</v>
      </c>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row>
    <row r="99" ht="15.75" customHeight="1">
      <c r="A99" s="2"/>
      <c r="B99" s="36" t="s">
        <v>167</v>
      </c>
      <c r="C99" s="42">
        <f>ROUND(333*$C$7,0)</f>
        <v>7992</v>
      </c>
      <c r="D99" s="42">
        <f>ROUND(833*$C$7,0)</f>
        <v>19992</v>
      </c>
      <c r="E99" s="42">
        <f>ROUND(2292*$C$7,0)</f>
        <v>55008</v>
      </c>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row>
    <row r="100" ht="15.75" customHeight="1">
      <c r="A100" s="2"/>
      <c r="B100" s="45" t="s">
        <v>168</v>
      </c>
      <c r="C100" s="42">
        <f t="shared" ref="C100:E100" si="32">C85*0.025/12</f>
        <v>707.9166667</v>
      </c>
      <c r="D100" s="42">
        <f t="shared" si="32"/>
        <v>3068.958333</v>
      </c>
      <c r="E100" s="42">
        <f t="shared" si="32"/>
        <v>9400</v>
      </c>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row>
    <row r="101" ht="15.75" customHeight="1">
      <c r="A101" s="2"/>
      <c r="B101" s="36" t="s">
        <v>169</v>
      </c>
      <c r="C101" s="43">
        <v>4000.0</v>
      </c>
      <c r="D101" s="43">
        <v>10000.0</v>
      </c>
      <c r="E101" s="43">
        <v>25000.0</v>
      </c>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row>
    <row r="102" ht="15.75" customHeight="1">
      <c r="A102" s="2"/>
      <c r="B102" s="36" t="s">
        <v>170</v>
      </c>
      <c r="C102" s="43">
        <v>2000.0</v>
      </c>
      <c r="D102" s="43">
        <v>4000.0</v>
      </c>
      <c r="E102" s="43">
        <v>8000.0</v>
      </c>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row>
    <row r="103" ht="15.75" customHeight="1">
      <c r="A103" s="2"/>
      <c r="B103" s="36" t="s">
        <v>171</v>
      </c>
      <c r="C103" s="42">
        <f t="shared" ref="C103:E103" si="33">(C85+C86)*0.005/12</f>
        <v>191.5833333</v>
      </c>
      <c r="D103" s="42">
        <f t="shared" si="33"/>
        <v>759.625</v>
      </c>
      <c r="E103" s="42">
        <f t="shared" si="33"/>
        <v>2275.833333</v>
      </c>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row>
    <row r="104" ht="15.75" customHeight="1">
      <c r="A104" s="2"/>
      <c r="B104" s="44" t="s">
        <v>172</v>
      </c>
      <c r="C104" s="40">
        <f t="shared" ref="C104:E104" si="34">SUM(C95:C103)</f>
        <v>110838.08</v>
      </c>
      <c r="D104" s="40">
        <f t="shared" si="34"/>
        <v>320353.9633</v>
      </c>
      <c r="E104" s="40">
        <f t="shared" si="34"/>
        <v>787327.6333</v>
      </c>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row>
    <row r="106" ht="15.0" customHeight="1">
      <c r="A106" s="2"/>
      <c r="B106" s="3" t="s">
        <v>173</v>
      </c>
      <c r="C106" s="4"/>
      <c r="D106" s="4"/>
      <c r="E106" s="4"/>
      <c r="F106" s="4"/>
      <c r="G106" s="4"/>
      <c r="H106" s="4"/>
      <c r="I106" s="4"/>
      <c r="J106" s="4"/>
      <c r="K106" s="4"/>
      <c r="L106" s="4"/>
      <c r="M106" s="4"/>
      <c r="N106" s="5"/>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row>
    <row r="107" ht="15.0" customHeight="1">
      <c r="A107" s="2"/>
      <c r="B107" s="26" t="s">
        <v>174</v>
      </c>
      <c r="C107" s="4"/>
      <c r="D107" s="4"/>
      <c r="E107" s="4"/>
      <c r="F107" s="5"/>
      <c r="G107" s="2"/>
      <c r="H107" s="26" t="s">
        <v>175</v>
      </c>
      <c r="I107" s="4"/>
      <c r="J107" s="4"/>
      <c r="K107" s="4"/>
      <c r="L107" s="5"/>
      <c r="M107" s="2"/>
      <c r="N107" s="26" t="s">
        <v>176</v>
      </c>
      <c r="O107" s="4"/>
      <c r="P107" s="4"/>
      <c r="Q107" s="4"/>
      <c r="R107" s="5"/>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row>
    <row r="108" ht="15.75" customHeight="1">
      <c r="A108" s="2"/>
      <c r="B108" s="27" t="s">
        <v>177</v>
      </c>
      <c r="C108" s="27" t="s">
        <v>178</v>
      </c>
      <c r="D108" s="27" t="s">
        <v>179</v>
      </c>
      <c r="E108" s="27" t="s">
        <v>180</v>
      </c>
      <c r="F108" s="27" t="s">
        <v>181</v>
      </c>
      <c r="G108" s="2"/>
      <c r="H108" s="27" t="s">
        <v>177</v>
      </c>
      <c r="I108" s="27" t="s">
        <v>178</v>
      </c>
      <c r="J108" s="27" t="s">
        <v>179</v>
      </c>
      <c r="K108" s="27" t="s">
        <v>180</v>
      </c>
      <c r="L108" s="27" t="s">
        <v>181</v>
      </c>
      <c r="M108" s="2"/>
      <c r="N108" s="27" t="s">
        <v>177</v>
      </c>
      <c r="O108" s="27" t="s">
        <v>178</v>
      </c>
      <c r="P108" s="27" t="s">
        <v>179</v>
      </c>
      <c r="Q108" s="27" t="s">
        <v>180</v>
      </c>
      <c r="R108" s="27" t="s">
        <v>181</v>
      </c>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row>
    <row r="109" ht="15.75" customHeight="1">
      <c r="A109" s="2"/>
      <c r="B109" s="7" t="s">
        <v>84</v>
      </c>
      <c r="C109" s="46">
        <v>303.75</v>
      </c>
      <c r="D109" s="47">
        <f t="shared" ref="D109:D114" si="35">C109*$C$10</f>
        <v>7593.75</v>
      </c>
      <c r="E109" s="48">
        <f>$C$56</f>
        <v>5.5</v>
      </c>
      <c r="F109" s="42">
        <f t="shared" ref="F109:F114" si="36">D109*E109</f>
        <v>41765.625</v>
      </c>
      <c r="G109" s="2"/>
      <c r="H109" s="7" t="s">
        <v>84</v>
      </c>
      <c r="I109" s="12">
        <v>1200.0</v>
      </c>
      <c r="J109" s="47">
        <f t="shared" ref="J109:J114" si="37">I109*$C$10</f>
        <v>30000</v>
      </c>
      <c r="K109" s="48">
        <f>$C$56</f>
        <v>5.5</v>
      </c>
      <c r="L109" s="42">
        <f t="shared" ref="L109:L114" si="38">J109*K109</f>
        <v>165000</v>
      </c>
      <c r="M109" s="2"/>
      <c r="N109" s="7" t="s">
        <v>84</v>
      </c>
      <c r="O109" s="12">
        <v>4000.0</v>
      </c>
      <c r="P109" s="47">
        <f t="shared" ref="P109:P115" si="39">O109*$C$10</f>
        <v>100000</v>
      </c>
      <c r="Q109" s="48">
        <f>$C$56</f>
        <v>5.5</v>
      </c>
      <c r="R109" s="42">
        <f t="shared" ref="R109:R115" si="40">P109*Q109</f>
        <v>550000</v>
      </c>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row>
    <row r="110" ht="15.75" customHeight="1">
      <c r="A110" s="2"/>
      <c r="B110" s="7" t="s">
        <v>85</v>
      </c>
      <c r="C110" s="46">
        <v>303.75</v>
      </c>
      <c r="D110" s="47">
        <f t="shared" si="35"/>
        <v>7593.75</v>
      </c>
      <c r="E110" s="48">
        <f>$C$57</f>
        <v>8.5</v>
      </c>
      <c r="F110" s="42">
        <f t="shared" si="36"/>
        <v>64546.875</v>
      </c>
      <c r="G110" s="2"/>
      <c r="H110" s="7" t="s">
        <v>85</v>
      </c>
      <c r="I110" s="12">
        <v>600.0</v>
      </c>
      <c r="J110" s="47">
        <f t="shared" si="37"/>
        <v>15000</v>
      </c>
      <c r="K110" s="48">
        <f>$C$57</f>
        <v>8.5</v>
      </c>
      <c r="L110" s="42">
        <f t="shared" si="38"/>
        <v>127500</v>
      </c>
      <c r="M110" s="2"/>
      <c r="N110" s="7" t="s">
        <v>85</v>
      </c>
      <c r="O110" s="12">
        <v>2000.0</v>
      </c>
      <c r="P110" s="47">
        <f t="shared" si="39"/>
        <v>50000</v>
      </c>
      <c r="Q110" s="48">
        <f>$C$57</f>
        <v>8.5</v>
      </c>
      <c r="R110" s="42">
        <f t="shared" si="40"/>
        <v>425000</v>
      </c>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row>
    <row r="111" ht="15.75" customHeight="1">
      <c r="A111" s="2"/>
      <c r="B111" s="7" t="s">
        <v>182</v>
      </c>
      <c r="C111" s="46">
        <v>810.0</v>
      </c>
      <c r="D111" s="47">
        <f t="shared" si="35"/>
        <v>20250</v>
      </c>
      <c r="E111" s="48">
        <f>$C$59</f>
        <v>2.5</v>
      </c>
      <c r="F111" s="42">
        <f t="shared" si="36"/>
        <v>50625</v>
      </c>
      <c r="G111" s="2"/>
      <c r="H111" s="7" t="s">
        <v>182</v>
      </c>
      <c r="I111" s="12">
        <v>7500.0</v>
      </c>
      <c r="J111" s="47">
        <f t="shared" si="37"/>
        <v>187500</v>
      </c>
      <c r="K111" s="48">
        <f>$C$59</f>
        <v>2.5</v>
      </c>
      <c r="L111" s="42">
        <f t="shared" si="38"/>
        <v>468750</v>
      </c>
      <c r="M111" s="2"/>
      <c r="N111" s="7" t="s">
        <v>182</v>
      </c>
      <c r="O111" s="12">
        <v>25000.0</v>
      </c>
      <c r="P111" s="47">
        <f t="shared" si="39"/>
        <v>625000</v>
      </c>
      <c r="Q111" s="48">
        <f>$C$59</f>
        <v>2.5</v>
      </c>
      <c r="R111" s="42">
        <f t="shared" si="40"/>
        <v>1562500</v>
      </c>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row>
    <row r="112" ht="15.75" customHeight="1">
      <c r="A112" s="2"/>
      <c r="B112" s="7" t="s">
        <v>183</v>
      </c>
      <c r="C112" s="46">
        <v>202.5</v>
      </c>
      <c r="D112" s="47">
        <f t="shared" si="35"/>
        <v>5062.5</v>
      </c>
      <c r="E112" s="48">
        <f>$C$61</f>
        <v>2.3</v>
      </c>
      <c r="F112" s="42">
        <f t="shared" si="36"/>
        <v>11643.75</v>
      </c>
      <c r="G112" s="2"/>
      <c r="H112" s="7" t="s">
        <v>183</v>
      </c>
      <c r="I112" s="12">
        <v>1500.0</v>
      </c>
      <c r="J112" s="47">
        <f t="shared" si="37"/>
        <v>37500</v>
      </c>
      <c r="K112" s="48">
        <f>$C$61</f>
        <v>2.3</v>
      </c>
      <c r="L112" s="42">
        <f t="shared" si="38"/>
        <v>86250</v>
      </c>
      <c r="M112" s="2"/>
      <c r="N112" s="7" t="s">
        <v>183</v>
      </c>
      <c r="O112" s="12">
        <v>5000.0</v>
      </c>
      <c r="P112" s="47">
        <f t="shared" si="39"/>
        <v>125000</v>
      </c>
      <c r="Q112" s="48">
        <f>$C$61</f>
        <v>2.3</v>
      </c>
      <c r="R112" s="42">
        <f t="shared" si="40"/>
        <v>287500</v>
      </c>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row>
    <row r="113" ht="15.75" customHeight="1">
      <c r="A113" s="2"/>
      <c r="B113" s="7" t="s">
        <v>184</v>
      </c>
      <c r="C113" s="46">
        <v>141.75</v>
      </c>
      <c r="D113" s="47">
        <f t="shared" si="35"/>
        <v>3543.75</v>
      </c>
      <c r="E113" s="49">
        <f>$C$62</f>
        <v>15.1</v>
      </c>
      <c r="F113" s="42">
        <f t="shared" si="36"/>
        <v>53510.625</v>
      </c>
      <c r="G113" s="2"/>
      <c r="H113" s="7" t="s">
        <v>184</v>
      </c>
      <c r="I113" s="12">
        <v>450.0</v>
      </c>
      <c r="J113" s="47">
        <f t="shared" si="37"/>
        <v>11250</v>
      </c>
      <c r="K113" s="48">
        <f>$C$62</f>
        <v>15.1</v>
      </c>
      <c r="L113" s="42">
        <f t="shared" si="38"/>
        <v>169875</v>
      </c>
      <c r="M113" s="2"/>
      <c r="N113" s="7" t="s">
        <v>184</v>
      </c>
      <c r="O113" s="12">
        <v>1500.0</v>
      </c>
      <c r="P113" s="47">
        <f t="shared" si="39"/>
        <v>37500</v>
      </c>
      <c r="Q113" s="48">
        <f>$C$62</f>
        <v>15.1</v>
      </c>
      <c r="R113" s="42">
        <f t="shared" si="40"/>
        <v>566250</v>
      </c>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row>
    <row r="114" ht="15.75" customHeight="1">
      <c r="A114" s="2"/>
      <c r="B114" s="7" t="s">
        <v>185</v>
      </c>
      <c r="C114" s="50">
        <v>1822.5</v>
      </c>
      <c r="D114" s="47">
        <f t="shared" si="35"/>
        <v>45562.5</v>
      </c>
      <c r="E114" s="48">
        <f>$C$64</f>
        <v>1</v>
      </c>
      <c r="F114" s="42">
        <f t="shared" si="36"/>
        <v>45562.5</v>
      </c>
      <c r="G114" s="2"/>
      <c r="H114" s="7" t="s">
        <v>185</v>
      </c>
      <c r="I114" s="12">
        <v>3000.0</v>
      </c>
      <c r="J114" s="47">
        <f t="shared" si="37"/>
        <v>75000</v>
      </c>
      <c r="K114" s="48">
        <f>$C$64</f>
        <v>1</v>
      </c>
      <c r="L114" s="42">
        <f t="shared" si="38"/>
        <v>75000</v>
      </c>
      <c r="M114" s="2"/>
      <c r="N114" s="7" t="s">
        <v>185</v>
      </c>
      <c r="O114" s="12">
        <v>10000.0</v>
      </c>
      <c r="P114" s="47">
        <f t="shared" si="39"/>
        <v>250000</v>
      </c>
      <c r="Q114" s="48">
        <f>$C$64</f>
        <v>1</v>
      </c>
      <c r="R114" s="42">
        <f t="shared" si="40"/>
        <v>250000</v>
      </c>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row>
    <row r="115" ht="15.75" customHeight="1">
      <c r="A115" s="2"/>
      <c r="B115" s="20" t="s">
        <v>186</v>
      </c>
      <c r="C115" s="38"/>
      <c r="D115" s="38"/>
      <c r="E115" s="20" t="s">
        <v>95</v>
      </c>
      <c r="F115" s="38">
        <f>$C$66*5*$C$10</f>
        <v>0</v>
      </c>
      <c r="G115" s="2"/>
      <c r="H115" s="38"/>
      <c r="I115" s="38"/>
      <c r="J115" s="38"/>
      <c r="K115" s="38"/>
      <c r="L115" s="38">
        <f>$C$66*15*$C$10</f>
        <v>0</v>
      </c>
      <c r="M115" s="2"/>
      <c r="N115" s="7" t="s">
        <v>93</v>
      </c>
      <c r="O115" s="12">
        <v>2500.0</v>
      </c>
      <c r="P115" s="47">
        <f t="shared" si="39"/>
        <v>62500</v>
      </c>
      <c r="Q115" s="48">
        <f>$C$65</f>
        <v>1.5</v>
      </c>
      <c r="R115" s="42">
        <f t="shared" si="40"/>
        <v>93750</v>
      </c>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row>
    <row r="116" ht="15.75" customHeight="1">
      <c r="A116" s="2"/>
      <c r="B116" s="44" t="s">
        <v>187</v>
      </c>
      <c r="C116" s="51">
        <f t="shared" ref="C116:D116" si="41">SUM(C109:C114)</f>
        <v>3584.25</v>
      </c>
      <c r="D116" s="51">
        <f t="shared" si="41"/>
        <v>89606.25</v>
      </c>
      <c r="E116" s="38"/>
      <c r="F116" s="40">
        <f>SUM(F109:F115)</f>
        <v>267654.375</v>
      </c>
      <c r="G116" s="2"/>
      <c r="H116" s="44" t="s">
        <v>187</v>
      </c>
      <c r="I116" s="51">
        <f t="shared" ref="I116:J116" si="42">SUM(I109:I114)</f>
        <v>14250</v>
      </c>
      <c r="J116" s="51">
        <f t="shared" si="42"/>
        <v>356250</v>
      </c>
      <c r="K116" s="38"/>
      <c r="L116" s="40">
        <f>SUM(L109:L115)</f>
        <v>1092375</v>
      </c>
      <c r="M116" s="2"/>
      <c r="N116" s="44" t="s">
        <v>187</v>
      </c>
      <c r="O116" s="51">
        <f t="shared" ref="O116:P116" si="43">SUM(O109:O115)</f>
        <v>50000</v>
      </c>
      <c r="P116" s="51">
        <f t="shared" si="43"/>
        <v>1250000</v>
      </c>
      <c r="Q116" s="38"/>
      <c r="R116" s="40">
        <f>SUM(R109:R115)+$C$66*50*$C$10</f>
        <v>3735000</v>
      </c>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row>
    <row r="117" ht="15.75" customHeight="1">
      <c r="A117" s="2"/>
      <c r="B117" s="36" t="s">
        <v>188</v>
      </c>
      <c r="C117" s="38"/>
      <c r="D117" s="38"/>
      <c r="E117" s="38"/>
      <c r="F117" s="42">
        <f>-F116*$C$11</f>
        <v>-26765.4375</v>
      </c>
      <c r="G117" s="2"/>
      <c r="H117" s="36" t="s">
        <v>188</v>
      </c>
      <c r="I117" s="38"/>
      <c r="J117" s="38"/>
      <c r="K117" s="38"/>
      <c r="L117" s="42">
        <f>-L116*$C$11</f>
        <v>-109237.5</v>
      </c>
      <c r="M117" s="2"/>
      <c r="N117" s="36" t="s">
        <v>188</v>
      </c>
      <c r="O117" s="38"/>
      <c r="P117" s="38"/>
      <c r="Q117" s="38"/>
      <c r="R117" s="42">
        <f>-R116*$C$11</f>
        <v>-373500</v>
      </c>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row>
    <row r="118" ht="15.75" customHeight="1">
      <c r="A118" s="2"/>
      <c r="B118" s="44" t="s">
        <v>189</v>
      </c>
      <c r="C118" s="38"/>
      <c r="D118" s="38"/>
      <c r="E118" s="38"/>
      <c r="F118" s="40">
        <f>F116+F117</f>
        <v>240888.9375</v>
      </c>
      <c r="G118" s="2"/>
      <c r="H118" s="44" t="s">
        <v>189</v>
      </c>
      <c r="I118" s="38"/>
      <c r="J118" s="38"/>
      <c r="K118" s="38"/>
      <c r="L118" s="40">
        <f>L116+L117</f>
        <v>983137.5</v>
      </c>
      <c r="M118" s="2"/>
      <c r="N118" s="44" t="s">
        <v>189</v>
      </c>
      <c r="O118" s="38"/>
      <c r="P118" s="38"/>
      <c r="Q118" s="38"/>
      <c r="R118" s="40">
        <f>R116+R117</f>
        <v>3361500</v>
      </c>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row>
    <row r="119" ht="15.75" customHeight="1">
      <c r="A119" s="2"/>
      <c r="B119" s="52" t="s">
        <v>83</v>
      </c>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row>
    <row r="122" ht="15.0" customHeight="1">
      <c r="A122" s="2"/>
      <c r="B122" s="3" t="s">
        <v>190</v>
      </c>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5"/>
      <c r="AJ122" s="2"/>
      <c r="AK122" s="2"/>
      <c r="AL122" s="2"/>
      <c r="AM122" s="2"/>
      <c r="AN122" s="2"/>
      <c r="AO122" s="2"/>
      <c r="AP122" s="2"/>
    </row>
    <row r="123" ht="15.0" customHeight="1">
      <c r="A123" s="2"/>
      <c r="B123" s="26" t="s">
        <v>191</v>
      </c>
      <c r="C123" s="4"/>
      <c r="D123" s="4"/>
      <c r="E123" s="4"/>
      <c r="F123" s="4"/>
      <c r="G123" s="4"/>
      <c r="H123" s="4"/>
      <c r="I123" s="4"/>
      <c r="J123" s="4"/>
      <c r="K123" s="4"/>
      <c r="L123" s="4"/>
      <c r="M123" s="5"/>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row>
    <row r="124" ht="15.75" customHeight="1">
      <c r="A124" s="2"/>
      <c r="B124" s="27" t="s">
        <v>149</v>
      </c>
      <c r="C124" s="27" t="s">
        <v>192</v>
      </c>
      <c r="D124" s="27" t="s">
        <v>193</v>
      </c>
      <c r="E124" s="27" t="s">
        <v>194</v>
      </c>
      <c r="F124" s="27" t="s">
        <v>195</v>
      </c>
      <c r="G124" s="27" t="s">
        <v>196</v>
      </c>
      <c r="H124" s="27" t="s">
        <v>197</v>
      </c>
      <c r="I124" s="27" t="s">
        <v>198</v>
      </c>
      <c r="J124" s="27" t="s">
        <v>199</v>
      </c>
      <c r="K124" s="27" t="s">
        <v>200</v>
      </c>
      <c r="L124" s="27" t="s">
        <v>201</v>
      </c>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row>
    <row r="125" ht="15.75" customHeight="1">
      <c r="A125" s="2"/>
      <c r="B125" s="7" t="s">
        <v>202</v>
      </c>
      <c r="C125" s="42">
        <f>F116*12*$C$26</f>
        <v>1605926.25</v>
      </c>
      <c r="D125" s="42">
        <f>F116*12*$C$27</f>
        <v>2408889.375</v>
      </c>
      <c r="E125" s="42">
        <f>F116*12*$C$28</f>
        <v>3211852.5</v>
      </c>
      <c r="F125" s="42">
        <f>F116*12*$C$28</f>
        <v>3211852.5</v>
      </c>
      <c r="G125" s="42">
        <f>F116*12*$C$28</f>
        <v>3211852.5</v>
      </c>
      <c r="H125" s="42">
        <f>F116*12*$C$28</f>
        <v>3211852.5</v>
      </c>
      <c r="I125" s="42">
        <f>F116*12*$C$28</f>
        <v>3211852.5</v>
      </c>
      <c r="J125" s="42">
        <f>F116*12*$C$28</f>
        <v>3211852.5</v>
      </c>
      <c r="K125" s="42">
        <f>F116*12*$C$28</f>
        <v>3211852.5</v>
      </c>
      <c r="L125" s="42">
        <f>F116*12*$C$28</f>
        <v>3211852.5</v>
      </c>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row>
    <row r="126" ht="15.75" customHeight="1">
      <c r="A126" s="2"/>
      <c r="B126" s="7" t="s">
        <v>203</v>
      </c>
      <c r="C126" s="42">
        <f t="shared" ref="C126:L126" si="44">-C125*$C$11</f>
        <v>-160592.625</v>
      </c>
      <c r="D126" s="42">
        <f t="shared" si="44"/>
        <v>-240888.9375</v>
      </c>
      <c r="E126" s="42">
        <f t="shared" si="44"/>
        <v>-321185.25</v>
      </c>
      <c r="F126" s="42">
        <f t="shared" si="44"/>
        <v>-321185.25</v>
      </c>
      <c r="G126" s="42">
        <f t="shared" si="44"/>
        <v>-321185.25</v>
      </c>
      <c r="H126" s="42">
        <f t="shared" si="44"/>
        <v>-321185.25</v>
      </c>
      <c r="I126" s="42">
        <f t="shared" si="44"/>
        <v>-321185.25</v>
      </c>
      <c r="J126" s="42">
        <f t="shared" si="44"/>
        <v>-321185.25</v>
      </c>
      <c r="K126" s="42">
        <f t="shared" si="44"/>
        <v>-321185.25</v>
      </c>
      <c r="L126" s="42">
        <f t="shared" si="44"/>
        <v>-321185.25</v>
      </c>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row>
    <row r="127" ht="15.75" customHeight="1">
      <c r="A127" s="2"/>
      <c r="B127" s="39" t="s">
        <v>204</v>
      </c>
      <c r="C127" s="40">
        <f t="shared" ref="C127:L127" si="45">C125+C126</f>
        <v>1445333.625</v>
      </c>
      <c r="D127" s="40">
        <f t="shared" si="45"/>
        <v>2168000.438</v>
      </c>
      <c r="E127" s="40">
        <f t="shared" si="45"/>
        <v>2890667.25</v>
      </c>
      <c r="F127" s="40">
        <f t="shared" si="45"/>
        <v>2890667.25</v>
      </c>
      <c r="G127" s="40">
        <f t="shared" si="45"/>
        <v>2890667.25</v>
      </c>
      <c r="H127" s="40">
        <f t="shared" si="45"/>
        <v>2890667.25</v>
      </c>
      <c r="I127" s="40">
        <f t="shared" si="45"/>
        <v>2890667.25</v>
      </c>
      <c r="J127" s="40">
        <f t="shared" si="45"/>
        <v>2890667.25</v>
      </c>
      <c r="K127" s="40">
        <f t="shared" si="45"/>
        <v>2890667.25</v>
      </c>
      <c r="L127" s="40">
        <f t="shared" si="45"/>
        <v>2890667.25</v>
      </c>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row>
    <row r="128" ht="15.75" customHeight="1">
      <c r="A128" s="2"/>
      <c r="B128" s="7" t="s">
        <v>205</v>
      </c>
      <c r="C128" s="42">
        <f>-C104*12*$C$26</f>
        <v>-665028.48</v>
      </c>
      <c r="D128" s="42">
        <f>-C104*12*$C$27</f>
        <v>-997542.72</v>
      </c>
      <c r="E128" s="42">
        <f>-C104*12*$C$28</f>
        <v>-1330056.96</v>
      </c>
      <c r="F128" s="42">
        <f>-C104*12*$C$28</f>
        <v>-1330056.96</v>
      </c>
      <c r="G128" s="42">
        <f>-C104*12*$C$28</f>
        <v>-1330056.96</v>
      </c>
      <c r="H128" s="42">
        <f>-C104*12*$C$28</f>
        <v>-1330056.96</v>
      </c>
      <c r="I128" s="42">
        <f>-C104*12*$C$28</f>
        <v>-1330056.96</v>
      </c>
      <c r="J128" s="42">
        <f>-C104*12*$C$28</f>
        <v>-1330056.96</v>
      </c>
      <c r="K128" s="42">
        <f>-C104*12*$C$28</f>
        <v>-1330056.96</v>
      </c>
      <c r="L128" s="42">
        <f>-C104*12*$C$28</f>
        <v>-1330056.96</v>
      </c>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row>
    <row r="129" ht="15.75" customHeight="1">
      <c r="A129" s="2"/>
      <c r="B129" s="39" t="s">
        <v>206</v>
      </c>
      <c r="C129" s="40">
        <f t="shared" ref="C129:L129" si="46">C127+C128</f>
        <v>780305.145</v>
      </c>
      <c r="D129" s="40">
        <f t="shared" si="46"/>
        <v>1170457.718</v>
      </c>
      <c r="E129" s="40">
        <f t="shared" si="46"/>
        <v>1560610.29</v>
      </c>
      <c r="F129" s="40">
        <f t="shared" si="46"/>
        <v>1560610.29</v>
      </c>
      <c r="G129" s="40">
        <f t="shared" si="46"/>
        <v>1560610.29</v>
      </c>
      <c r="H129" s="40">
        <f t="shared" si="46"/>
        <v>1560610.29</v>
      </c>
      <c r="I129" s="40">
        <f t="shared" si="46"/>
        <v>1560610.29</v>
      </c>
      <c r="J129" s="40">
        <f t="shared" si="46"/>
        <v>1560610.29</v>
      </c>
      <c r="K129" s="40">
        <f t="shared" si="46"/>
        <v>1560610.29</v>
      </c>
      <c r="L129" s="40">
        <f t="shared" si="46"/>
        <v>1560610.29</v>
      </c>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row>
    <row r="130" ht="15.75" customHeight="1">
      <c r="A130" s="2"/>
      <c r="B130" s="7" t="s">
        <v>207</v>
      </c>
      <c r="C130" s="53">
        <f t="shared" ref="C130:L130" si="47">IF(C127&lt;&gt;0,C129/C127,0)</f>
        <v>0.539878912</v>
      </c>
      <c r="D130" s="53">
        <f t="shared" si="47"/>
        <v>0.539878912</v>
      </c>
      <c r="E130" s="53">
        <f t="shared" si="47"/>
        <v>0.539878912</v>
      </c>
      <c r="F130" s="53">
        <f t="shared" si="47"/>
        <v>0.539878912</v>
      </c>
      <c r="G130" s="53">
        <f t="shared" si="47"/>
        <v>0.539878912</v>
      </c>
      <c r="H130" s="53">
        <f t="shared" si="47"/>
        <v>0.539878912</v>
      </c>
      <c r="I130" s="53">
        <f t="shared" si="47"/>
        <v>0.539878912</v>
      </c>
      <c r="J130" s="53">
        <f t="shared" si="47"/>
        <v>0.539878912</v>
      </c>
      <c r="K130" s="53">
        <f t="shared" si="47"/>
        <v>0.539878912</v>
      </c>
      <c r="L130" s="53">
        <f t="shared" si="47"/>
        <v>0.539878912</v>
      </c>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row>
    <row r="131" ht="15.75" customHeight="1">
      <c r="A131" s="2"/>
      <c r="B131" s="7" t="s">
        <v>208</v>
      </c>
      <c r="C131" s="42">
        <f t="shared" ref="C131:L131" si="48">-E185</f>
        <v>-39980</v>
      </c>
      <c r="D131" s="42">
        <f t="shared" si="48"/>
        <v>-39980</v>
      </c>
      <c r="E131" s="42">
        <f t="shared" si="48"/>
        <v>-39980</v>
      </c>
      <c r="F131" s="42">
        <f t="shared" si="48"/>
        <v>-39980</v>
      </c>
      <c r="G131" s="42">
        <f t="shared" si="48"/>
        <v>-39980</v>
      </c>
      <c r="H131" s="42">
        <f t="shared" si="48"/>
        <v>-39980</v>
      </c>
      <c r="I131" s="42">
        <f t="shared" si="48"/>
        <v>-39980</v>
      </c>
      <c r="J131" s="42">
        <f t="shared" si="48"/>
        <v>-39980</v>
      </c>
      <c r="K131" s="42">
        <f t="shared" si="48"/>
        <v>-39980</v>
      </c>
      <c r="L131" s="42">
        <f t="shared" si="48"/>
        <v>-39980</v>
      </c>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row>
    <row r="132" ht="15.75" customHeight="1">
      <c r="A132" s="2"/>
      <c r="B132" s="39" t="s">
        <v>209</v>
      </c>
      <c r="C132" s="40">
        <f t="shared" ref="C132:L132" si="49">C129+C131</f>
        <v>740325.145</v>
      </c>
      <c r="D132" s="40">
        <f t="shared" si="49"/>
        <v>1130477.718</v>
      </c>
      <c r="E132" s="40">
        <f t="shared" si="49"/>
        <v>1520630.29</v>
      </c>
      <c r="F132" s="40">
        <f t="shared" si="49"/>
        <v>1520630.29</v>
      </c>
      <c r="G132" s="40">
        <f t="shared" si="49"/>
        <v>1520630.29</v>
      </c>
      <c r="H132" s="40">
        <f t="shared" si="49"/>
        <v>1520630.29</v>
      </c>
      <c r="I132" s="40">
        <f t="shared" si="49"/>
        <v>1520630.29</v>
      </c>
      <c r="J132" s="40">
        <f t="shared" si="49"/>
        <v>1520630.29</v>
      </c>
      <c r="K132" s="40">
        <f t="shared" si="49"/>
        <v>1520630.29</v>
      </c>
      <c r="L132" s="40">
        <f t="shared" si="49"/>
        <v>1520630.29</v>
      </c>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row>
    <row r="133" ht="15.75" customHeight="1">
      <c r="A133" s="2"/>
      <c r="B133" s="7" t="s">
        <v>210</v>
      </c>
      <c r="C133" s="42">
        <f t="shared" ref="C133:L133" si="50">-D212</f>
        <v>-50853.3312</v>
      </c>
      <c r="D133" s="42">
        <f t="shared" si="50"/>
        <v>-38139.9984</v>
      </c>
      <c r="E133" s="42">
        <f t="shared" si="50"/>
        <v>-25426.6656</v>
      </c>
      <c r="F133" s="42">
        <f t="shared" si="50"/>
        <v>-12713.3328</v>
      </c>
      <c r="G133" s="42">
        <f t="shared" si="50"/>
        <v>0</v>
      </c>
      <c r="H133" s="42">
        <f t="shared" si="50"/>
        <v>0</v>
      </c>
      <c r="I133" s="42">
        <f t="shared" si="50"/>
        <v>0</v>
      </c>
      <c r="J133" s="42">
        <f t="shared" si="50"/>
        <v>0</v>
      </c>
      <c r="K133" s="42">
        <f t="shared" si="50"/>
        <v>0</v>
      </c>
      <c r="L133" s="42">
        <f t="shared" si="50"/>
        <v>0</v>
      </c>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row>
    <row r="134" ht="15.75" customHeight="1">
      <c r="A134" s="2"/>
      <c r="B134" s="39" t="s">
        <v>211</v>
      </c>
      <c r="C134" s="40">
        <f t="shared" ref="C134:L134" si="51">C132+C133</f>
        <v>689471.8138</v>
      </c>
      <c r="D134" s="40">
        <f t="shared" si="51"/>
        <v>1092337.719</v>
      </c>
      <c r="E134" s="40">
        <f t="shared" si="51"/>
        <v>1495203.624</v>
      </c>
      <c r="F134" s="40">
        <f t="shared" si="51"/>
        <v>1507916.957</v>
      </c>
      <c r="G134" s="40">
        <f t="shared" si="51"/>
        <v>1520630.29</v>
      </c>
      <c r="H134" s="40">
        <f t="shared" si="51"/>
        <v>1520630.29</v>
      </c>
      <c r="I134" s="40">
        <f t="shared" si="51"/>
        <v>1520630.29</v>
      </c>
      <c r="J134" s="40">
        <f t="shared" si="51"/>
        <v>1520630.29</v>
      </c>
      <c r="K134" s="40">
        <f t="shared" si="51"/>
        <v>1520630.29</v>
      </c>
      <c r="L134" s="40">
        <f t="shared" si="51"/>
        <v>1520630.29</v>
      </c>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row>
    <row r="135" ht="15.75" customHeight="1">
      <c r="A135" s="2"/>
      <c r="B135" s="7" t="s">
        <v>212</v>
      </c>
      <c r="C135" s="42">
        <f t="shared" ref="C135:L135" si="52">-MAX(0,C134)*$C$15</f>
        <v>-206841.5441</v>
      </c>
      <c r="D135" s="42">
        <f t="shared" si="52"/>
        <v>-327701.3157</v>
      </c>
      <c r="E135" s="42">
        <f t="shared" si="52"/>
        <v>-448561.0873</v>
      </c>
      <c r="F135" s="42">
        <f t="shared" si="52"/>
        <v>-452375.0872</v>
      </c>
      <c r="G135" s="42">
        <f t="shared" si="52"/>
        <v>-456189.087</v>
      </c>
      <c r="H135" s="42">
        <f t="shared" si="52"/>
        <v>-456189.087</v>
      </c>
      <c r="I135" s="42">
        <f t="shared" si="52"/>
        <v>-456189.087</v>
      </c>
      <c r="J135" s="42">
        <f t="shared" si="52"/>
        <v>-456189.087</v>
      </c>
      <c r="K135" s="42">
        <f t="shared" si="52"/>
        <v>-456189.087</v>
      </c>
      <c r="L135" s="42">
        <f t="shared" si="52"/>
        <v>-456189.087</v>
      </c>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row>
    <row r="136" ht="15.75" customHeight="1">
      <c r="A136" s="2"/>
      <c r="B136" s="7" t="s">
        <v>213</v>
      </c>
      <c r="C136" s="42">
        <f t="shared" ref="C136:L136" si="53">-MAX(0,C134)*$C$16</f>
        <v>-68947.18138</v>
      </c>
      <c r="D136" s="42">
        <f t="shared" si="53"/>
        <v>-109233.7719</v>
      </c>
      <c r="E136" s="42">
        <f t="shared" si="53"/>
        <v>-149520.3624</v>
      </c>
      <c r="F136" s="42">
        <f t="shared" si="53"/>
        <v>-150791.6957</v>
      </c>
      <c r="G136" s="42">
        <f t="shared" si="53"/>
        <v>-152063.029</v>
      </c>
      <c r="H136" s="42">
        <f t="shared" si="53"/>
        <v>-152063.029</v>
      </c>
      <c r="I136" s="42">
        <f t="shared" si="53"/>
        <v>-152063.029</v>
      </c>
      <c r="J136" s="42">
        <f t="shared" si="53"/>
        <v>-152063.029</v>
      </c>
      <c r="K136" s="42">
        <f t="shared" si="53"/>
        <v>-152063.029</v>
      </c>
      <c r="L136" s="42">
        <f t="shared" si="53"/>
        <v>-152063.029</v>
      </c>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row>
    <row r="137" ht="15.75" customHeight="1">
      <c r="A137" s="2"/>
      <c r="B137" s="39" t="s">
        <v>214</v>
      </c>
      <c r="C137" s="40">
        <f t="shared" ref="C137:L137" si="54">C134+C135+C136</f>
        <v>413683.0883</v>
      </c>
      <c r="D137" s="40">
        <f t="shared" si="54"/>
        <v>655402.6315</v>
      </c>
      <c r="E137" s="40">
        <f t="shared" si="54"/>
        <v>897122.1746</v>
      </c>
      <c r="F137" s="40">
        <f t="shared" si="54"/>
        <v>904750.1743</v>
      </c>
      <c r="G137" s="40">
        <f t="shared" si="54"/>
        <v>912378.174</v>
      </c>
      <c r="H137" s="40">
        <f t="shared" si="54"/>
        <v>912378.174</v>
      </c>
      <c r="I137" s="40">
        <f t="shared" si="54"/>
        <v>912378.174</v>
      </c>
      <c r="J137" s="40">
        <f t="shared" si="54"/>
        <v>912378.174</v>
      </c>
      <c r="K137" s="40">
        <f t="shared" si="54"/>
        <v>912378.174</v>
      </c>
      <c r="L137" s="40">
        <f t="shared" si="54"/>
        <v>912378.174</v>
      </c>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row>
    <row r="138" ht="15.75" customHeight="1">
      <c r="A138" s="2"/>
      <c r="B138" s="7" t="s">
        <v>215</v>
      </c>
      <c r="C138" s="42">
        <f t="shared" ref="C138:L138" si="55">-MAX(0,C137)*$C$17</f>
        <v>-20684.15441</v>
      </c>
      <c r="D138" s="42">
        <f t="shared" si="55"/>
        <v>-32770.13157</v>
      </c>
      <c r="E138" s="42">
        <f t="shared" si="55"/>
        <v>-44856.10873</v>
      </c>
      <c r="F138" s="42">
        <f t="shared" si="55"/>
        <v>-45237.50872</v>
      </c>
      <c r="G138" s="42">
        <f t="shared" si="55"/>
        <v>-45618.9087</v>
      </c>
      <c r="H138" s="42">
        <f t="shared" si="55"/>
        <v>-45618.9087</v>
      </c>
      <c r="I138" s="42">
        <f t="shared" si="55"/>
        <v>-45618.9087</v>
      </c>
      <c r="J138" s="42">
        <f t="shared" si="55"/>
        <v>-45618.9087</v>
      </c>
      <c r="K138" s="42">
        <f t="shared" si="55"/>
        <v>-45618.9087</v>
      </c>
      <c r="L138" s="42">
        <f t="shared" si="55"/>
        <v>-45618.9087</v>
      </c>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row>
    <row r="139" ht="15.75" customHeight="1">
      <c r="A139" s="2"/>
      <c r="B139" s="39" t="s">
        <v>216</v>
      </c>
      <c r="C139" s="40">
        <f t="shared" ref="C139:L139" si="56">C137+C138</f>
        <v>392998.9339</v>
      </c>
      <c r="D139" s="40">
        <f t="shared" si="56"/>
        <v>622632.4999</v>
      </c>
      <c r="E139" s="40">
        <f t="shared" si="56"/>
        <v>852266.0659</v>
      </c>
      <c r="F139" s="40">
        <f t="shared" si="56"/>
        <v>859512.6656</v>
      </c>
      <c r="G139" s="40">
        <f t="shared" si="56"/>
        <v>866759.2653</v>
      </c>
      <c r="H139" s="40">
        <f t="shared" si="56"/>
        <v>866759.2653</v>
      </c>
      <c r="I139" s="40">
        <f t="shared" si="56"/>
        <v>866759.2653</v>
      </c>
      <c r="J139" s="40">
        <f t="shared" si="56"/>
        <v>866759.2653</v>
      </c>
      <c r="K139" s="40">
        <f t="shared" si="56"/>
        <v>866759.2653</v>
      </c>
      <c r="L139" s="40">
        <f t="shared" si="56"/>
        <v>866759.2653</v>
      </c>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row>
    <row r="142" ht="15.0" customHeight="1">
      <c r="A142" s="2"/>
      <c r="B142" s="26" t="s">
        <v>217</v>
      </c>
      <c r="C142" s="4"/>
      <c r="D142" s="4"/>
      <c r="E142" s="4"/>
      <c r="F142" s="4"/>
      <c r="G142" s="4"/>
      <c r="H142" s="4"/>
      <c r="I142" s="4"/>
      <c r="J142" s="4"/>
      <c r="K142" s="4"/>
      <c r="L142" s="4"/>
      <c r="M142" s="5"/>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row>
    <row r="143" ht="15.75" customHeight="1">
      <c r="A143" s="2"/>
      <c r="B143" s="27" t="s">
        <v>149</v>
      </c>
      <c r="C143" s="27" t="s">
        <v>192</v>
      </c>
      <c r="D143" s="27" t="s">
        <v>193</v>
      </c>
      <c r="E143" s="27" t="s">
        <v>194</v>
      </c>
      <c r="F143" s="27" t="s">
        <v>195</v>
      </c>
      <c r="G143" s="27" t="s">
        <v>196</v>
      </c>
      <c r="H143" s="27" t="s">
        <v>197</v>
      </c>
      <c r="I143" s="27" t="s">
        <v>198</v>
      </c>
      <c r="J143" s="27" t="s">
        <v>199</v>
      </c>
      <c r="K143" s="27" t="s">
        <v>200</v>
      </c>
      <c r="L143" s="27" t="s">
        <v>201</v>
      </c>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row>
    <row r="144" ht="15.75" customHeight="1">
      <c r="A144" s="2"/>
      <c r="B144" s="7" t="s">
        <v>202</v>
      </c>
      <c r="C144" s="42">
        <f>L116*12*$C$26</f>
        <v>6554250</v>
      </c>
      <c r="D144" s="42">
        <f>L116*12*$C$27</f>
        <v>9831375</v>
      </c>
      <c r="E144" s="42">
        <f>L116*12*$C$28</f>
        <v>13108500</v>
      </c>
      <c r="F144" s="42">
        <f>L116*12*$C$28</f>
        <v>13108500</v>
      </c>
      <c r="G144" s="42">
        <f>L116*12*$C$28</f>
        <v>13108500</v>
      </c>
      <c r="H144" s="42">
        <f>L116*12*$C$28</f>
        <v>13108500</v>
      </c>
      <c r="I144" s="42">
        <f>L116*12*$C$28</f>
        <v>13108500</v>
      </c>
      <c r="J144" s="42">
        <f>L116*12*$C$28</f>
        <v>13108500</v>
      </c>
      <c r="K144" s="42">
        <f>L116*12*$C$28</f>
        <v>13108500</v>
      </c>
      <c r="L144" s="42">
        <f>L116*12*$C$28</f>
        <v>13108500</v>
      </c>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row>
    <row r="145" ht="15.75" customHeight="1">
      <c r="A145" s="2"/>
      <c r="B145" s="7" t="s">
        <v>203</v>
      </c>
      <c r="C145" s="42">
        <f t="shared" ref="C145:L145" si="57">-C144*$C$11</f>
        <v>-655425</v>
      </c>
      <c r="D145" s="42">
        <f t="shared" si="57"/>
        <v>-983137.5</v>
      </c>
      <c r="E145" s="42">
        <f t="shared" si="57"/>
        <v>-1310850</v>
      </c>
      <c r="F145" s="42">
        <f t="shared" si="57"/>
        <v>-1310850</v>
      </c>
      <c r="G145" s="42">
        <f t="shared" si="57"/>
        <v>-1310850</v>
      </c>
      <c r="H145" s="42">
        <f t="shared" si="57"/>
        <v>-1310850</v>
      </c>
      <c r="I145" s="42">
        <f t="shared" si="57"/>
        <v>-1310850</v>
      </c>
      <c r="J145" s="42">
        <f t="shared" si="57"/>
        <v>-1310850</v>
      </c>
      <c r="K145" s="42">
        <f t="shared" si="57"/>
        <v>-1310850</v>
      </c>
      <c r="L145" s="42">
        <f t="shared" si="57"/>
        <v>-1310850</v>
      </c>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row>
    <row r="146" ht="15.75" customHeight="1">
      <c r="A146" s="2"/>
      <c r="B146" s="39" t="s">
        <v>204</v>
      </c>
      <c r="C146" s="40">
        <f t="shared" ref="C146:L146" si="58">C144+C145</f>
        <v>5898825</v>
      </c>
      <c r="D146" s="40">
        <f t="shared" si="58"/>
        <v>8848237.5</v>
      </c>
      <c r="E146" s="40">
        <f t="shared" si="58"/>
        <v>11797650</v>
      </c>
      <c r="F146" s="40">
        <f t="shared" si="58"/>
        <v>11797650</v>
      </c>
      <c r="G146" s="40">
        <f t="shared" si="58"/>
        <v>11797650</v>
      </c>
      <c r="H146" s="40">
        <f t="shared" si="58"/>
        <v>11797650</v>
      </c>
      <c r="I146" s="40">
        <f t="shared" si="58"/>
        <v>11797650</v>
      </c>
      <c r="J146" s="40">
        <f t="shared" si="58"/>
        <v>11797650</v>
      </c>
      <c r="K146" s="40">
        <f t="shared" si="58"/>
        <v>11797650</v>
      </c>
      <c r="L146" s="40">
        <f t="shared" si="58"/>
        <v>11797650</v>
      </c>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row>
    <row r="147" ht="15.75" customHeight="1">
      <c r="A147" s="2"/>
      <c r="B147" s="7" t="s">
        <v>205</v>
      </c>
      <c r="C147" s="42">
        <f>-D104*12*$C$26</f>
        <v>-1922123.78</v>
      </c>
      <c r="D147" s="42">
        <f>-D104*12*$C$27</f>
        <v>-2883185.67</v>
      </c>
      <c r="E147" s="42">
        <f>-D104*12*$C$28</f>
        <v>-3844247.56</v>
      </c>
      <c r="F147" s="42">
        <f>-D104*12*$C$28</f>
        <v>-3844247.56</v>
      </c>
      <c r="G147" s="42">
        <f>-D104*12*$C$28</f>
        <v>-3844247.56</v>
      </c>
      <c r="H147" s="42">
        <f>-D104*12*$C$28</f>
        <v>-3844247.56</v>
      </c>
      <c r="I147" s="42">
        <f>-D104*12*$C$28</f>
        <v>-3844247.56</v>
      </c>
      <c r="J147" s="42">
        <f>-D104*12*$C$28</f>
        <v>-3844247.56</v>
      </c>
      <c r="K147" s="42">
        <f>-D104*12*$C$28</f>
        <v>-3844247.56</v>
      </c>
      <c r="L147" s="42">
        <f>-D104*12*$C$28</f>
        <v>-3844247.56</v>
      </c>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row>
    <row r="148" ht="15.75" customHeight="1">
      <c r="A148" s="2"/>
      <c r="B148" s="39" t="s">
        <v>206</v>
      </c>
      <c r="C148" s="40">
        <f t="shared" ref="C148:L148" si="59">C146+C147</f>
        <v>3976701.22</v>
      </c>
      <c r="D148" s="40">
        <f t="shared" si="59"/>
        <v>5965051.83</v>
      </c>
      <c r="E148" s="40">
        <f t="shared" si="59"/>
        <v>7953402.44</v>
      </c>
      <c r="F148" s="40">
        <f t="shared" si="59"/>
        <v>7953402.44</v>
      </c>
      <c r="G148" s="40">
        <f t="shared" si="59"/>
        <v>7953402.44</v>
      </c>
      <c r="H148" s="40">
        <f t="shared" si="59"/>
        <v>7953402.44</v>
      </c>
      <c r="I148" s="40">
        <f t="shared" si="59"/>
        <v>7953402.44</v>
      </c>
      <c r="J148" s="40">
        <f t="shared" si="59"/>
        <v>7953402.44</v>
      </c>
      <c r="K148" s="40">
        <f t="shared" si="59"/>
        <v>7953402.44</v>
      </c>
      <c r="L148" s="40">
        <f t="shared" si="59"/>
        <v>7953402.44</v>
      </c>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row>
    <row r="149" ht="15.75" customHeight="1">
      <c r="A149" s="2"/>
      <c r="B149" s="7" t="s">
        <v>207</v>
      </c>
      <c r="C149" s="53">
        <f t="shared" ref="C149:L149" si="60">IF(C146&lt;&gt;0,C148/C146,0)</f>
        <v>0.6741514149</v>
      </c>
      <c r="D149" s="53">
        <f t="shared" si="60"/>
        <v>0.6741514149</v>
      </c>
      <c r="E149" s="53">
        <f t="shared" si="60"/>
        <v>0.6741514149</v>
      </c>
      <c r="F149" s="53">
        <f t="shared" si="60"/>
        <v>0.6741514149</v>
      </c>
      <c r="G149" s="53">
        <f t="shared" si="60"/>
        <v>0.6741514149</v>
      </c>
      <c r="H149" s="53">
        <f t="shared" si="60"/>
        <v>0.6741514149</v>
      </c>
      <c r="I149" s="53">
        <f t="shared" si="60"/>
        <v>0.6741514149</v>
      </c>
      <c r="J149" s="53">
        <f t="shared" si="60"/>
        <v>0.6741514149</v>
      </c>
      <c r="K149" s="53">
        <f t="shared" si="60"/>
        <v>0.6741514149</v>
      </c>
      <c r="L149" s="53">
        <f t="shared" si="60"/>
        <v>0.6741514149</v>
      </c>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row>
    <row r="150" ht="15.75" customHeight="1">
      <c r="A150" s="2"/>
      <c r="B150" s="7" t="s">
        <v>208</v>
      </c>
      <c r="C150" s="42">
        <f t="shared" ref="C150:L150" si="61">-E192</f>
        <v>-164810</v>
      </c>
      <c r="D150" s="42">
        <f t="shared" si="61"/>
        <v>-164810</v>
      </c>
      <c r="E150" s="42">
        <f t="shared" si="61"/>
        <v>-164810</v>
      </c>
      <c r="F150" s="42">
        <f t="shared" si="61"/>
        <v>-164810</v>
      </c>
      <c r="G150" s="42">
        <f t="shared" si="61"/>
        <v>-164810</v>
      </c>
      <c r="H150" s="42">
        <f t="shared" si="61"/>
        <v>-164810</v>
      </c>
      <c r="I150" s="42">
        <f t="shared" si="61"/>
        <v>-164810</v>
      </c>
      <c r="J150" s="42">
        <f t="shared" si="61"/>
        <v>-164810</v>
      </c>
      <c r="K150" s="42">
        <f t="shared" si="61"/>
        <v>-164810</v>
      </c>
      <c r="L150" s="42">
        <f t="shared" si="61"/>
        <v>-164810</v>
      </c>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row>
    <row r="151" ht="15.75" customHeight="1">
      <c r="A151" s="2"/>
      <c r="B151" s="39" t="s">
        <v>209</v>
      </c>
      <c r="C151" s="40">
        <f t="shared" ref="C151:L151" si="62">C148+C150</f>
        <v>3811891.22</v>
      </c>
      <c r="D151" s="40">
        <f t="shared" si="62"/>
        <v>5800241.83</v>
      </c>
      <c r="E151" s="40">
        <f t="shared" si="62"/>
        <v>7788592.44</v>
      </c>
      <c r="F151" s="40">
        <f t="shared" si="62"/>
        <v>7788592.44</v>
      </c>
      <c r="G151" s="40">
        <f t="shared" si="62"/>
        <v>7788592.44</v>
      </c>
      <c r="H151" s="40">
        <f t="shared" si="62"/>
        <v>7788592.44</v>
      </c>
      <c r="I151" s="40">
        <f t="shared" si="62"/>
        <v>7788592.44</v>
      </c>
      <c r="J151" s="40">
        <f t="shared" si="62"/>
        <v>7788592.44</v>
      </c>
      <c r="K151" s="40">
        <f t="shared" si="62"/>
        <v>7788592.44</v>
      </c>
      <c r="L151" s="40">
        <f t="shared" si="62"/>
        <v>7788592.44</v>
      </c>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row>
    <row r="152" ht="15.75" customHeight="1">
      <c r="A152" s="2"/>
      <c r="B152" s="7" t="s">
        <v>210</v>
      </c>
      <c r="C152" s="42">
        <f t="shared" ref="C152:L152" si="63">-D228</f>
        <v>-204833.4421</v>
      </c>
      <c r="D152" s="42">
        <f t="shared" si="63"/>
        <v>-170694.5351</v>
      </c>
      <c r="E152" s="42">
        <f t="shared" si="63"/>
        <v>-136555.628</v>
      </c>
      <c r="F152" s="42">
        <f t="shared" si="63"/>
        <v>-102416.721</v>
      </c>
      <c r="G152" s="42">
        <f t="shared" si="63"/>
        <v>-68277.81402</v>
      </c>
      <c r="H152" s="42">
        <f t="shared" si="63"/>
        <v>-34138.90701</v>
      </c>
      <c r="I152" s="42">
        <f t="shared" si="63"/>
        <v>0</v>
      </c>
      <c r="J152" s="42">
        <f t="shared" si="63"/>
        <v>0</v>
      </c>
      <c r="K152" s="42">
        <f t="shared" si="63"/>
        <v>0</v>
      </c>
      <c r="L152" s="42">
        <f t="shared" si="63"/>
        <v>0</v>
      </c>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row>
    <row r="153" ht="15.75" customHeight="1">
      <c r="A153" s="2"/>
      <c r="B153" s="39" t="s">
        <v>211</v>
      </c>
      <c r="C153" s="40">
        <f t="shared" ref="C153:L153" si="64">C151+C152</f>
        <v>3607057.778</v>
      </c>
      <c r="D153" s="40">
        <f t="shared" si="64"/>
        <v>5629547.295</v>
      </c>
      <c r="E153" s="40">
        <f t="shared" si="64"/>
        <v>7652036.812</v>
      </c>
      <c r="F153" s="40">
        <f t="shared" si="64"/>
        <v>7686175.719</v>
      </c>
      <c r="G153" s="40">
        <f t="shared" si="64"/>
        <v>7720314.626</v>
      </c>
      <c r="H153" s="40">
        <f t="shared" si="64"/>
        <v>7754453.533</v>
      </c>
      <c r="I153" s="40">
        <f t="shared" si="64"/>
        <v>7788592.44</v>
      </c>
      <c r="J153" s="40">
        <f t="shared" si="64"/>
        <v>7788592.44</v>
      </c>
      <c r="K153" s="40">
        <f t="shared" si="64"/>
        <v>7788592.44</v>
      </c>
      <c r="L153" s="40">
        <f t="shared" si="64"/>
        <v>7788592.44</v>
      </c>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row>
    <row r="154" ht="15.75" customHeight="1">
      <c r="A154" s="2"/>
      <c r="B154" s="7" t="s">
        <v>212</v>
      </c>
      <c r="C154" s="42">
        <f t="shared" ref="C154:L154" si="65">-MAX(0,C153)*$C$15</f>
        <v>-1082117.333</v>
      </c>
      <c r="D154" s="42">
        <f t="shared" si="65"/>
        <v>-1688864.188</v>
      </c>
      <c r="E154" s="42">
        <f t="shared" si="65"/>
        <v>-2295611.044</v>
      </c>
      <c r="F154" s="42">
        <f t="shared" si="65"/>
        <v>-2305852.716</v>
      </c>
      <c r="G154" s="42">
        <f t="shared" si="65"/>
        <v>-2316094.388</v>
      </c>
      <c r="H154" s="42">
        <f t="shared" si="65"/>
        <v>-2326336.06</v>
      </c>
      <c r="I154" s="42">
        <f t="shared" si="65"/>
        <v>-2336577.732</v>
      </c>
      <c r="J154" s="42">
        <f t="shared" si="65"/>
        <v>-2336577.732</v>
      </c>
      <c r="K154" s="42">
        <f t="shared" si="65"/>
        <v>-2336577.732</v>
      </c>
      <c r="L154" s="42">
        <f t="shared" si="65"/>
        <v>-2336577.732</v>
      </c>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row>
    <row r="155" ht="15.75" customHeight="1">
      <c r="A155" s="2"/>
      <c r="B155" s="7" t="s">
        <v>213</v>
      </c>
      <c r="C155" s="42">
        <f t="shared" ref="C155:L155" si="66">-MAX(0,C153)*$C$16</f>
        <v>-360705.7778</v>
      </c>
      <c r="D155" s="42">
        <f t="shared" si="66"/>
        <v>-562954.7295</v>
      </c>
      <c r="E155" s="42">
        <f t="shared" si="66"/>
        <v>-765203.6812</v>
      </c>
      <c r="F155" s="42">
        <f t="shared" si="66"/>
        <v>-768617.5719</v>
      </c>
      <c r="G155" s="42">
        <f t="shared" si="66"/>
        <v>-772031.4626</v>
      </c>
      <c r="H155" s="42">
        <f t="shared" si="66"/>
        <v>-775445.3533</v>
      </c>
      <c r="I155" s="42">
        <f t="shared" si="66"/>
        <v>-778859.244</v>
      </c>
      <c r="J155" s="42">
        <f t="shared" si="66"/>
        <v>-778859.244</v>
      </c>
      <c r="K155" s="42">
        <f t="shared" si="66"/>
        <v>-778859.244</v>
      </c>
      <c r="L155" s="42">
        <f t="shared" si="66"/>
        <v>-778859.244</v>
      </c>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row>
    <row r="156" ht="15.75" customHeight="1">
      <c r="A156" s="2"/>
      <c r="B156" s="39" t="s">
        <v>214</v>
      </c>
      <c r="C156" s="40">
        <f t="shared" ref="C156:L156" si="67">C153+C154+C155</f>
        <v>2164234.667</v>
      </c>
      <c r="D156" s="40">
        <f t="shared" si="67"/>
        <v>3377728.377</v>
      </c>
      <c r="E156" s="40">
        <f t="shared" si="67"/>
        <v>4591222.087</v>
      </c>
      <c r="F156" s="40">
        <f t="shared" si="67"/>
        <v>4611705.431</v>
      </c>
      <c r="G156" s="40">
        <f t="shared" si="67"/>
        <v>4632188.776</v>
      </c>
      <c r="H156" s="40">
        <f t="shared" si="67"/>
        <v>4652672.12</v>
      </c>
      <c r="I156" s="40">
        <f t="shared" si="67"/>
        <v>4673155.464</v>
      </c>
      <c r="J156" s="40">
        <f t="shared" si="67"/>
        <v>4673155.464</v>
      </c>
      <c r="K156" s="40">
        <f t="shared" si="67"/>
        <v>4673155.464</v>
      </c>
      <c r="L156" s="40">
        <f t="shared" si="67"/>
        <v>4673155.464</v>
      </c>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row>
    <row r="157" ht="15.75" customHeight="1">
      <c r="A157" s="2"/>
      <c r="B157" s="7" t="s">
        <v>215</v>
      </c>
      <c r="C157" s="42">
        <f t="shared" ref="C157:L157" si="68">-MAX(0,C156)*$C$17</f>
        <v>-108211.7333</v>
      </c>
      <c r="D157" s="42">
        <f t="shared" si="68"/>
        <v>-168886.4188</v>
      </c>
      <c r="E157" s="42">
        <f t="shared" si="68"/>
        <v>-229561.1044</v>
      </c>
      <c r="F157" s="42">
        <f t="shared" si="68"/>
        <v>-230585.2716</v>
      </c>
      <c r="G157" s="42">
        <f t="shared" si="68"/>
        <v>-231609.4388</v>
      </c>
      <c r="H157" s="42">
        <f t="shared" si="68"/>
        <v>-232633.606</v>
      </c>
      <c r="I157" s="42">
        <f t="shared" si="68"/>
        <v>-233657.7732</v>
      </c>
      <c r="J157" s="42">
        <f t="shared" si="68"/>
        <v>-233657.7732</v>
      </c>
      <c r="K157" s="42">
        <f t="shared" si="68"/>
        <v>-233657.7732</v>
      </c>
      <c r="L157" s="42">
        <f t="shared" si="68"/>
        <v>-233657.7732</v>
      </c>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row>
    <row r="158" ht="15.75" customHeight="1">
      <c r="A158" s="2"/>
      <c r="B158" s="39" t="s">
        <v>216</v>
      </c>
      <c r="C158" s="40">
        <f t="shared" ref="C158:L158" si="69">C156+C157</f>
        <v>2056022.933</v>
      </c>
      <c r="D158" s="40">
        <f t="shared" si="69"/>
        <v>3208841.958</v>
      </c>
      <c r="E158" s="40">
        <f t="shared" si="69"/>
        <v>4361660.983</v>
      </c>
      <c r="F158" s="40">
        <f t="shared" si="69"/>
        <v>4381120.16</v>
      </c>
      <c r="G158" s="40">
        <f t="shared" si="69"/>
        <v>4400579.337</v>
      </c>
      <c r="H158" s="40">
        <f t="shared" si="69"/>
        <v>4420038.514</v>
      </c>
      <c r="I158" s="40">
        <f t="shared" si="69"/>
        <v>4439497.691</v>
      </c>
      <c r="J158" s="40">
        <f t="shared" si="69"/>
        <v>4439497.691</v>
      </c>
      <c r="K158" s="40">
        <f t="shared" si="69"/>
        <v>4439497.691</v>
      </c>
      <c r="L158" s="40">
        <f t="shared" si="69"/>
        <v>4439497.691</v>
      </c>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row>
    <row r="161" ht="15.0" customHeight="1">
      <c r="A161" s="2"/>
      <c r="B161" s="26" t="s">
        <v>218</v>
      </c>
      <c r="C161" s="4"/>
      <c r="D161" s="4"/>
      <c r="E161" s="4"/>
      <c r="F161" s="4"/>
      <c r="G161" s="4"/>
      <c r="H161" s="4"/>
      <c r="I161" s="4"/>
      <c r="J161" s="4"/>
      <c r="K161" s="4"/>
      <c r="L161" s="4"/>
      <c r="M161" s="5"/>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row>
    <row r="162" ht="15.75" customHeight="1">
      <c r="A162" s="2"/>
      <c r="B162" s="27" t="s">
        <v>149</v>
      </c>
      <c r="C162" s="27" t="s">
        <v>192</v>
      </c>
      <c r="D162" s="27" t="s">
        <v>193</v>
      </c>
      <c r="E162" s="27" t="s">
        <v>194</v>
      </c>
      <c r="F162" s="27" t="s">
        <v>195</v>
      </c>
      <c r="G162" s="27" t="s">
        <v>196</v>
      </c>
      <c r="H162" s="27" t="s">
        <v>197</v>
      </c>
      <c r="I162" s="27" t="s">
        <v>198</v>
      </c>
      <c r="J162" s="27" t="s">
        <v>199</v>
      </c>
      <c r="K162" s="27" t="s">
        <v>200</v>
      </c>
      <c r="L162" s="27" t="s">
        <v>201</v>
      </c>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row>
    <row r="163" ht="15.75" customHeight="1">
      <c r="A163" s="2"/>
      <c r="B163" s="7" t="s">
        <v>202</v>
      </c>
      <c r="C163" s="42">
        <f>R116*12*$C$26</f>
        <v>22410000</v>
      </c>
      <c r="D163" s="42">
        <f>R116*12*$C$27</f>
        <v>33615000</v>
      </c>
      <c r="E163" s="42">
        <f>R116*12*$C$28</f>
        <v>44820000</v>
      </c>
      <c r="F163" s="42">
        <f>R116*12*$C$28</f>
        <v>44820000</v>
      </c>
      <c r="G163" s="42">
        <f>R116*12*$C$28</f>
        <v>44820000</v>
      </c>
      <c r="H163" s="42">
        <f>R116*12*$C$28</f>
        <v>44820000</v>
      </c>
      <c r="I163" s="42">
        <f>R116*12*$C$28</f>
        <v>44820000</v>
      </c>
      <c r="J163" s="42">
        <f>R116*12*$C$28</f>
        <v>44820000</v>
      </c>
      <c r="K163" s="42">
        <f>R116*12*$C$28</f>
        <v>44820000</v>
      </c>
      <c r="L163" s="42">
        <f>R116*12*$C$28</f>
        <v>44820000</v>
      </c>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row>
    <row r="164" ht="15.75" customHeight="1">
      <c r="A164" s="2"/>
      <c r="B164" s="7" t="s">
        <v>203</v>
      </c>
      <c r="C164" s="42">
        <f t="shared" ref="C164:L164" si="70">-C163*$C$11</f>
        <v>-2241000</v>
      </c>
      <c r="D164" s="42">
        <f t="shared" si="70"/>
        <v>-3361500</v>
      </c>
      <c r="E164" s="42">
        <f t="shared" si="70"/>
        <v>-4482000</v>
      </c>
      <c r="F164" s="42">
        <f t="shared" si="70"/>
        <v>-4482000</v>
      </c>
      <c r="G164" s="42">
        <f t="shared" si="70"/>
        <v>-4482000</v>
      </c>
      <c r="H164" s="42">
        <f t="shared" si="70"/>
        <v>-4482000</v>
      </c>
      <c r="I164" s="42">
        <f t="shared" si="70"/>
        <v>-4482000</v>
      </c>
      <c r="J164" s="42">
        <f t="shared" si="70"/>
        <v>-4482000</v>
      </c>
      <c r="K164" s="42">
        <f t="shared" si="70"/>
        <v>-4482000</v>
      </c>
      <c r="L164" s="42">
        <f t="shared" si="70"/>
        <v>-4482000</v>
      </c>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row>
    <row r="165" ht="15.75" customHeight="1">
      <c r="A165" s="2"/>
      <c r="B165" s="39" t="s">
        <v>204</v>
      </c>
      <c r="C165" s="40">
        <f t="shared" ref="C165:L165" si="71">C163+C164</f>
        <v>20169000</v>
      </c>
      <c r="D165" s="40">
        <f t="shared" si="71"/>
        <v>30253500</v>
      </c>
      <c r="E165" s="40">
        <f t="shared" si="71"/>
        <v>40338000</v>
      </c>
      <c r="F165" s="40">
        <f t="shared" si="71"/>
        <v>40338000</v>
      </c>
      <c r="G165" s="40">
        <f t="shared" si="71"/>
        <v>40338000</v>
      </c>
      <c r="H165" s="40">
        <f t="shared" si="71"/>
        <v>40338000</v>
      </c>
      <c r="I165" s="40">
        <f t="shared" si="71"/>
        <v>40338000</v>
      </c>
      <c r="J165" s="40">
        <f t="shared" si="71"/>
        <v>40338000</v>
      </c>
      <c r="K165" s="40">
        <f t="shared" si="71"/>
        <v>40338000</v>
      </c>
      <c r="L165" s="40">
        <f t="shared" si="71"/>
        <v>40338000</v>
      </c>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row>
    <row r="166" ht="15.75" customHeight="1">
      <c r="A166" s="2"/>
      <c r="B166" s="7" t="s">
        <v>205</v>
      </c>
      <c r="C166" s="42">
        <f>-E104*12*$C$26</f>
        <v>-4723965.8</v>
      </c>
      <c r="D166" s="42">
        <f>-E104*12*$C$27</f>
        <v>-7085948.7</v>
      </c>
      <c r="E166" s="42">
        <f>-E104*12*$C$28</f>
        <v>-9447931.6</v>
      </c>
      <c r="F166" s="42">
        <f>-E104*12*$C$28</f>
        <v>-9447931.6</v>
      </c>
      <c r="G166" s="42">
        <f>-E104*12*$C$28</f>
        <v>-9447931.6</v>
      </c>
      <c r="H166" s="42">
        <f>-E104*12*$C$28</f>
        <v>-9447931.6</v>
      </c>
      <c r="I166" s="42">
        <f>-E104*12*$C$28</f>
        <v>-9447931.6</v>
      </c>
      <c r="J166" s="42">
        <f>-E104*12*$C$28</f>
        <v>-9447931.6</v>
      </c>
      <c r="K166" s="42">
        <f>-E104*12*$C$28</f>
        <v>-9447931.6</v>
      </c>
      <c r="L166" s="42">
        <f>-E104*12*$C$28</f>
        <v>-9447931.6</v>
      </c>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row>
    <row r="167" ht="15.75" customHeight="1">
      <c r="A167" s="2"/>
      <c r="B167" s="39" t="s">
        <v>206</v>
      </c>
      <c r="C167" s="40">
        <f t="shared" ref="C167:L167" si="72">C165+C166</f>
        <v>15445034.2</v>
      </c>
      <c r="D167" s="40">
        <f t="shared" si="72"/>
        <v>23167551.3</v>
      </c>
      <c r="E167" s="40">
        <f t="shared" si="72"/>
        <v>30890068.4</v>
      </c>
      <c r="F167" s="40">
        <f t="shared" si="72"/>
        <v>30890068.4</v>
      </c>
      <c r="G167" s="40">
        <f t="shared" si="72"/>
        <v>30890068.4</v>
      </c>
      <c r="H167" s="40">
        <f t="shared" si="72"/>
        <v>30890068.4</v>
      </c>
      <c r="I167" s="40">
        <f t="shared" si="72"/>
        <v>30890068.4</v>
      </c>
      <c r="J167" s="40">
        <f t="shared" si="72"/>
        <v>30890068.4</v>
      </c>
      <c r="K167" s="40">
        <f t="shared" si="72"/>
        <v>30890068.4</v>
      </c>
      <c r="L167" s="40">
        <f t="shared" si="72"/>
        <v>30890068.4</v>
      </c>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row>
    <row r="168" ht="15.75" customHeight="1">
      <c r="A168" s="2"/>
      <c r="B168" s="7" t="s">
        <v>207</v>
      </c>
      <c r="C168" s="53">
        <f t="shared" ref="C168:L168" si="73">IF(C165&lt;&gt;0,C167/C165,0)</f>
        <v>0.7657808617</v>
      </c>
      <c r="D168" s="53">
        <f t="shared" si="73"/>
        <v>0.7657808617</v>
      </c>
      <c r="E168" s="53">
        <f t="shared" si="73"/>
        <v>0.7657808617</v>
      </c>
      <c r="F168" s="53">
        <f t="shared" si="73"/>
        <v>0.7657808617</v>
      </c>
      <c r="G168" s="53">
        <f t="shared" si="73"/>
        <v>0.7657808617</v>
      </c>
      <c r="H168" s="53">
        <f t="shared" si="73"/>
        <v>0.7657808617</v>
      </c>
      <c r="I168" s="53">
        <f t="shared" si="73"/>
        <v>0.7657808617</v>
      </c>
      <c r="J168" s="53">
        <f t="shared" si="73"/>
        <v>0.7657808617</v>
      </c>
      <c r="K168" s="53">
        <f t="shared" si="73"/>
        <v>0.7657808617</v>
      </c>
      <c r="L168" s="53">
        <f t="shared" si="73"/>
        <v>0.7657808617</v>
      </c>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row>
    <row r="169" ht="15.75" customHeight="1">
      <c r="A169" s="2"/>
      <c r="B169" s="7" t="s">
        <v>208</v>
      </c>
      <c r="C169" s="42">
        <f t="shared" ref="C169:L169" si="74">-E199</f>
        <v>-498700</v>
      </c>
      <c r="D169" s="42">
        <f t="shared" si="74"/>
        <v>-498700</v>
      </c>
      <c r="E169" s="42">
        <f t="shared" si="74"/>
        <v>-498700</v>
      </c>
      <c r="F169" s="42">
        <f t="shared" si="74"/>
        <v>-498700</v>
      </c>
      <c r="G169" s="42">
        <f t="shared" si="74"/>
        <v>-498700</v>
      </c>
      <c r="H169" s="42">
        <f t="shared" si="74"/>
        <v>-498700</v>
      </c>
      <c r="I169" s="42">
        <f t="shared" si="74"/>
        <v>-498700</v>
      </c>
      <c r="J169" s="42">
        <f t="shared" si="74"/>
        <v>-498700</v>
      </c>
      <c r="K169" s="42">
        <f t="shared" si="74"/>
        <v>-498700</v>
      </c>
      <c r="L169" s="42">
        <f t="shared" si="74"/>
        <v>-498700</v>
      </c>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row>
    <row r="170" ht="15.75" customHeight="1">
      <c r="A170" s="2"/>
      <c r="B170" s="39" t="s">
        <v>209</v>
      </c>
      <c r="C170" s="40">
        <f t="shared" ref="C170:L170" si="75">C167+C169</f>
        <v>14946334.2</v>
      </c>
      <c r="D170" s="40">
        <f t="shared" si="75"/>
        <v>22668851.3</v>
      </c>
      <c r="E170" s="40">
        <f t="shared" si="75"/>
        <v>30391368.4</v>
      </c>
      <c r="F170" s="40">
        <f t="shared" si="75"/>
        <v>30391368.4</v>
      </c>
      <c r="G170" s="40">
        <f t="shared" si="75"/>
        <v>30391368.4</v>
      </c>
      <c r="H170" s="40">
        <f t="shared" si="75"/>
        <v>30391368.4</v>
      </c>
      <c r="I170" s="40">
        <f t="shared" si="75"/>
        <v>30391368.4</v>
      </c>
      <c r="J170" s="40">
        <f t="shared" si="75"/>
        <v>30391368.4</v>
      </c>
      <c r="K170" s="40">
        <f t="shared" si="75"/>
        <v>30391368.4</v>
      </c>
      <c r="L170" s="40">
        <f t="shared" si="75"/>
        <v>30391368.4</v>
      </c>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row>
    <row r="171" ht="15.75" customHeight="1">
      <c r="A171" s="2"/>
      <c r="B171" s="7" t="s">
        <v>210</v>
      </c>
      <c r="C171" s="42">
        <f t="shared" ref="C171:L171" si="76">-D244</f>
        <v>-648980.6293</v>
      </c>
      <c r="D171" s="42">
        <f t="shared" si="76"/>
        <v>-567858.0506</v>
      </c>
      <c r="E171" s="42">
        <f t="shared" si="76"/>
        <v>-486735.472</v>
      </c>
      <c r="F171" s="42">
        <f t="shared" si="76"/>
        <v>-405612.8933</v>
      </c>
      <c r="G171" s="42">
        <f t="shared" si="76"/>
        <v>-324490.3146</v>
      </c>
      <c r="H171" s="42">
        <f t="shared" si="76"/>
        <v>-243367.736</v>
      </c>
      <c r="I171" s="42">
        <f t="shared" si="76"/>
        <v>-162245.1573</v>
      </c>
      <c r="J171" s="42">
        <f t="shared" si="76"/>
        <v>-81122.57866</v>
      </c>
      <c r="K171" s="42">
        <f t="shared" si="76"/>
        <v>0</v>
      </c>
      <c r="L171" s="42">
        <f t="shared" si="76"/>
        <v>0</v>
      </c>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row>
    <row r="172" ht="15.75" customHeight="1">
      <c r="A172" s="2"/>
      <c r="B172" s="39" t="s">
        <v>211</v>
      </c>
      <c r="C172" s="40">
        <f t="shared" ref="C172:L172" si="77">C170+C171</f>
        <v>14297353.57</v>
      </c>
      <c r="D172" s="40">
        <f t="shared" si="77"/>
        <v>22100993.25</v>
      </c>
      <c r="E172" s="40">
        <f t="shared" si="77"/>
        <v>29904632.93</v>
      </c>
      <c r="F172" s="40">
        <f t="shared" si="77"/>
        <v>29985755.51</v>
      </c>
      <c r="G172" s="40">
        <f t="shared" si="77"/>
        <v>30066878.09</v>
      </c>
      <c r="H172" s="40">
        <f t="shared" si="77"/>
        <v>30148000.66</v>
      </c>
      <c r="I172" s="40">
        <f t="shared" si="77"/>
        <v>30229123.24</v>
      </c>
      <c r="J172" s="40">
        <f t="shared" si="77"/>
        <v>30310245.82</v>
      </c>
      <c r="K172" s="40">
        <f t="shared" si="77"/>
        <v>30391368.4</v>
      </c>
      <c r="L172" s="40">
        <f t="shared" si="77"/>
        <v>30391368.4</v>
      </c>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row>
    <row r="173" ht="15.75" customHeight="1">
      <c r="A173" s="2"/>
      <c r="B173" s="7" t="s">
        <v>212</v>
      </c>
      <c r="C173" s="42">
        <f t="shared" ref="C173:L173" si="78">-MAX(0,C172)*$C$15</f>
        <v>-4289206.071</v>
      </c>
      <c r="D173" s="42">
        <f t="shared" si="78"/>
        <v>-6630297.975</v>
      </c>
      <c r="E173" s="42">
        <f t="shared" si="78"/>
        <v>-8971389.878</v>
      </c>
      <c r="F173" s="42">
        <f t="shared" si="78"/>
        <v>-8995726.652</v>
      </c>
      <c r="G173" s="42">
        <f t="shared" si="78"/>
        <v>-9020063.426</v>
      </c>
      <c r="H173" s="42">
        <f t="shared" si="78"/>
        <v>-9044400.199</v>
      </c>
      <c r="I173" s="42">
        <f t="shared" si="78"/>
        <v>-9068736.973</v>
      </c>
      <c r="J173" s="42">
        <f t="shared" si="78"/>
        <v>-9093073.746</v>
      </c>
      <c r="K173" s="42">
        <f t="shared" si="78"/>
        <v>-9117410.52</v>
      </c>
      <c r="L173" s="42">
        <f t="shared" si="78"/>
        <v>-9117410.52</v>
      </c>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row>
    <row r="174" ht="15.75" customHeight="1">
      <c r="A174" s="2"/>
      <c r="B174" s="7" t="s">
        <v>213</v>
      </c>
      <c r="C174" s="42">
        <f t="shared" ref="C174:L174" si="79">-MAX(0,C172)*$C$16</f>
        <v>-1429735.357</v>
      </c>
      <c r="D174" s="42">
        <f t="shared" si="79"/>
        <v>-2210099.325</v>
      </c>
      <c r="E174" s="42">
        <f t="shared" si="79"/>
        <v>-2990463.293</v>
      </c>
      <c r="F174" s="42">
        <f t="shared" si="79"/>
        <v>-2998575.551</v>
      </c>
      <c r="G174" s="42">
        <f t="shared" si="79"/>
        <v>-3006687.809</v>
      </c>
      <c r="H174" s="42">
        <f t="shared" si="79"/>
        <v>-3014800.066</v>
      </c>
      <c r="I174" s="42">
        <f t="shared" si="79"/>
        <v>-3022912.324</v>
      </c>
      <c r="J174" s="42">
        <f t="shared" si="79"/>
        <v>-3031024.582</v>
      </c>
      <c r="K174" s="42">
        <f t="shared" si="79"/>
        <v>-3039136.84</v>
      </c>
      <c r="L174" s="42">
        <f t="shared" si="79"/>
        <v>-3039136.84</v>
      </c>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row>
    <row r="175" ht="15.75" customHeight="1">
      <c r="A175" s="2"/>
      <c r="B175" s="39" t="s">
        <v>214</v>
      </c>
      <c r="C175" s="40">
        <f t="shared" ref="C175:L175" si="80">C172+C173+C174</f>
        <v>8578412.142</v>
      </c>
      <c r="D175" s="40">
        <f t="shared" si="80"/>
        <v>13260595.95</v>
      </c>
      <c r="E175" s="40">
        <f t="shared" si="80"/>
        <v>17942779.76</v>
      </c>
      <c r="F175" s="40">
        <f t="shared" si="80"/>
        <v>17991453.3</v>
      </c>
      <c r="G175" s="40">
        <f t="shared" si="80"/>
        <v>18040126.85</v>
      </c>
      <c r="H175" s="40">
        <f t="shared" si="80"/>
        <v>18088800.4</v>
      </c>
      <c r="I175" s="40">
        <f t="shared" si="80"/>
        <v>18137473.95</v>
      </c>
      <c r="J175" s="40">
        <f t="shared" si="80"/>
        <v>18186147.49</v>
      </c>
      <c r="K175" s="40">
        <f t="shared" si="80"/>
        <v>18234821.04</v>
      </c>
      <c r="L175" s="40">
        <f t="shared" si="80"/>
        <v>18234821.04</v>
      </c>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row>
    <row r="176" ht="15.75" customHeight="1">
      <c r="A176" s="2"/>
      <c r="B176" s="7" t="s">
        <v>215</v>
      </c>
      <c r="C176" s="42">
        <f t="shared" ref="C176:L176" si="81">-MAX(0,C175)*$C$17</f>
        <v>-428920.6071</v>
      </c>
      <c r="D176" s="42">
        <f t="shared" si="81"/>
        <v>-663029.7975</v>
      </c>
      <c r="E176" s="42">
        <f t="shared" si="81"/>
        <v>-897138.9878</v>
      </c>
      <c r="F176" s="42">
        <f t="shared" si="81"/>
        <v>-899572.6652</v>
      </c>
      <c r="G176" s="42">
        <f t="shared" si="81"/>
        <v>-902006.3426</v>
      </c>
      <c r="H176" s="42">
        <f t="shared" si="81"/>
        <v>-904440.0199</v>
      </c>
      <c r="I176" s="42">
        <f t="shared" si="81"/>
        <v>-906873.6973</v>
      </c>
      <c r="J176" s="42">
        <f t="shared" si="81"/>
        <v>-909307.3746</v>
      </c>
      <c r="K176" s="42">
        <f t="shared" si="81"/>
        <v>-911741.052</v>
      </c>
      <c r="L176" s="42">
        <f t="shared" si="81"/>
        <v>-911741.052</v>
      </c>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row>
    <row r="177" ht="15.75" customHeight="1">
      <c r="A177" s="2"/>
      <c r="B177" s="39" t="s">
        <v>216</v>
      </c>
      <c r="C177" s="40">
        <f t="shared" ref="C177:L177" si="82">C175+C176</f>
        <v>8149491.535</v>
      </c>
      <c r="D177" s="40">
        <f t="shared" si="82"/>
        <v>12597566.15</v>
      </c>
      <c r="E177" s="40">
        <f t="shared" si="82"/>
        <v>17045640.77</v>
      </c>
      <c r="F177" s="40">
        <f t="shared" si="82"/>
        <v>17091880.64</v>
      </c>
      <c r="G177" s="40">
        <f t="shared" si="82"/>
        <v>17138120.51</v>
      </c>
      <c r="H177" s="40">
        <f t="shared" si="82"/>
        <v>17184360.38</v>
      </c>
      <c r="I177" s="40">
        <f t="shared" si="82"/>
        <v>17230600.25</v>
      </c>
      <c r="J177" s="40">
        <f t="shared" si="82"/>
        <v>17276840.12</v>
      </c>
      <c r="K177" s="40">
        <f t="shared" si="82"/>
        <v>17323079.99</v>
      </c>
      <c r="L177" s="40">
        <f t="shared" si="82"/>
        <v>17323079.99</v>
      </c>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row>
    <row r="180" ht="15.0" customHeight="1">
      <c r="A180" s="2"/>
      <c r="B180" s="3" t="s">
        <v>219</v>
      </c>
      <c r="C180" s="4"/>
      <c r="D180" s="4"/>
      <c r="E180" s="4"/>
      <c r="F180" s="4"/>
      <c r="G180" s="4"/>
      <c r="H180" s="4"/>
      <c r="I180" s="4"/>
      <c r="J180" s="4"/>
      <c r="K180" s="4"/>
      <c r="L180" s="4"/>
      <c r="M180" s="4"/>
      <c r="N180" s="5"/>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row>
    <row r="181" ht="15.0" customHeight="1">
      <c r="A181" s="2"/>
      <c r="B181" s="26" t="s">
        <v>220</v>
      </c>
      <c r="C181" s="4"/>
      <c r="D181" s="4"/>
      <c r="E181" s="4"/>
      <c r="F181" s="4"/>
      <c r="G181" s="4"/>
      <c r="H181" s="4"/>
      <c r="I181" s="4"/>
      <c r="J181" s="4"/>
      <c r="K181" s="4"/>
      <c r="L181" s="4"/>
      <c r="M181" s="4"/>
      <c r="N181" s="5"/>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row>
    <row r="182" ht="15.75" customHeight="1">
      <c r="A182" s="2"/>
      <c r="B182" s="27" t="s">
        <v>221</v>
      </c>
      <c r="C182" s="27" t="s">
        <v>222</v>
      </c>
      <c r="D182" s="27" t="s">
        <v>223</v>
      </c>
      <c r="E182" s="27" t="s">
        <v>224</v>
      </c>
      <c r="F182" s="27" t="s">
        <v>225</v>
      </c>
      <c r="G182" s="27" t="s">
        <v>226</v>
      </c>
      <c r="H182" s="27" t="s">
        <v>227</v>
      </c>
      <c r="I182" s="27" t="s">
        <v>228</v>
      </c>
      <c r="J182" s="27" t="s">
        <v>229</v>
      </c>
      <c r="K182" s="27" t="s">
        <v>230</v>
      </c>
      <c r="L182" s="27" t="s">
        <v>231</v>
      </c>
      <c r="M182" s="27" t="s">
        <v>232</v>
      </c>
      <c r="N182" s="27" t="s">
        <v>233</v>
      </c>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row>
    <row r="183" ht="15.75" customHeight="1">
      <c r="A183" s="2"/>
      <c r="B183" s="36" t="s">
        <v>234</v>
      </c>
      <c r="C183" s="42">
        <f t="shared" ref="C183:C184" si="83">C85</f>
        <v>339800</v>
      </c>
      <c r="D183" s="54">
        <f>$C$18</f>
        <v>10</v>
      </c>
      <c r="E183" s="42">
        <f t="shared" ref="E183:E184" si="84">IF(1&lt;=D183,C183/D183,0)</f>
        <v>33980</v>
      </c>
      <c r="F183" s="42">
        <f t="shared" ref="F183:F184" si="85">IF(2&lt;=D183,C183/D183,0)</f>
        <v>33980</v>
      </c>
      <c r="G183" s="42">
        <f t="shared" ref="G183:G184" si="86">IF(3&lt;=D183,C183/D183,0)</f>
        <v>33980</v>
      </c>
      <c r="H183" s="42">
        <f t="shared" ref="H183:H184" si="87">IF(4&lt;=D183,C183/D183,0)</f>
        <v>33980</v>
      </c>
      <c r="I183" s="42">
        <f t="shared" ref="I183:I184" si="88">IF(5&lt;=D183,C183/D183,0)</f>
        <v>33980</v>
      </c>
      <c r="J183" s="42">
        <f t="shared" ref="J183:J184" si="89">IF(6&lt;=D183,C183/D183,0)</f>
        <v>33980</v>
      </c>
      <c r="K183" s="42">
        <f t="shared" ref="K183:K184" si="90">IF(7&lt;=D183,C183/D183,0)</f>
        <v>33980</v>
      </c>
      <c r="L183" s="42">
        <f t="shared" ref="L183:L184" si="91">IF(8&lt;=D183,C183/D183,0)</f>
        <v>33980</v>
      </c>
      <c r="M183" s="42">
        <f t="shared" ref="M183:M184" si="92">IF(9&lt;=D183,C183/D183,0)</f>
        <v>33980</v>
      </c>
      <c r="N183" s="42">
        <f t="shared" ref="N183:N184" si="93">IF(10&lt;=D183,C183/D183,0)</f>
        <v>33980</v>
      </c>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row>
    <row r="184" ht="15.75" customHeight="1">
      <c r="A184" s="2"/>
      <c r="B184" s="36" t="s">
        <v>154</v>
      </c>
      <c r="C184" s="42">
        <f t="shared" si="83"/>
        <v>120000</v>
      </c>
      <c r="D184" s="54">
        <f>$C$20</f>
        <v>20</v>
      </c>
      <c r="E184" s="42">
        <f t="shared" si="84"/>
        <v>6000</v>
      </c>
      <c r="F184" s="42">
        <f t="shared" si="85"/>
        <v>6000</v>
      </c>
      <c r="G184" s="42">
        <f t="shared" si="86"/>
        <v>6000</v>
      </c>
      <c r="H184" s="42">
        <f t="shared" si="87"/>
        <v>6000</v>
      </c>
      <c r="I184" s="42">
        <f t="shared" si="88"/>
        <v>6000</v>
      </c>
      <c r="J184" s="42">
        <f t="shared" si="89"/>
        <v>6000</v>
      </c>
      <c r="K184" s="42">
        <f t="shared" si="90"/>
        <v>6000</v>
      </c>
      <c r="L184" s="42">
        <f t="shared" si="91"/>
        <v>6000</v>
      </c>
      <c r="M184" s="42">
        <f t="shared" si="92"/>
        <v>6000</v>
      </c>
      <c r="N184" s="42">
        <f t="shared" si="93"/>
        <v>6000</v>
      </c>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row>
    <row r="185" ht="15.75" customHeight="1">
      <c r="A185" s="2"/>
      <c r="B185" s="44" t="s">
        <v>235</v>
      </c>
      <c r="C185" s="38"/>
      <c r="D185" s="38"/>
      <c r="E185" s="40">
        <f t="shared" ref="E185:N185" si="94">E183+E184</f>
        <v>39980</v>
      </c>
      <c r="F185" s="40">
        <f t="shared" si="94"/>
        <v>39980</v>
      </c>
      <c r="G185" s="40">
        <f t="shared" si="94"/>
        <v>39980</v>
      </c>
      <c r="H185" s="40">
        <f t="shared" si="94"/>
        <v>39980</v>
      </c>
      <c r="I185" s="40">
        <f t="shared" si="94"/>
        <v>39980</v>
      </c>
      <c r="J185" s="40">
        <f t="shared" si="94"/>
        <v>39980</v>
      </c>
      <c r="K185" s="40">
        <f t="shared" si="94"/>
        <v>39980</v>
      </c>
      <c r="L185" s="40">
        <f t="shared" si="94"/>
        <v>39980</v>
      </c>
      <c r="M185" s="40">
        <f t="shared" si="94"/>
        <v>39980</v>
      </c>
      <c r="N185" s="40">
        <f t="shared" si="94"/>
        <v>39980</v>
      </c>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row>
    <row r="188" ht="15.0" customHeight="1">
      <c r="A188" s="2"/>
      <c r="B188" s="26" t="s">
        <v>236</v>
      </c>
      <c r="C188" s="4"/>
      <c r="D188" s="4"/>
      <c r="E188" s="4"/>
      <c r="F188" s="4"/>
      <c r="G188" s="4"/>
      <c r="H188" s="4"/>
      <c r="I188" s="4"/>
      <c r="J188" s="4"/>
      <c r="K188" s="4"/>
      <c r="L188" s="4"/>
      <c r="M188" s="4"/>
      <c r="N188" s="5"/>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row>
    <row r="189" ht="15.75" customHeight="1">
      <c r="A189" s="2"/>
      <c r="B189" s="27" t="s">
        <v>221</v>
      </c>
      <c r="C189" s="27" t="s">
        <v>222</v>
      </c>
      <c r="D189" s="27" t="s">
        <v>223</v>
      </c>
      <c r="E189" s="27" t="s">
        <v>224</v>
      </c>
      <c r="F189" s="27" t="s">
        <v>225</v>
      </c>
      <c r="G189" s="27" t="s">
        <v>226</v>
      </c>
      <c r="H189" s="27" t="s">
        <v>227</v>
      </c>
      <c r="I189" s="27" t="s">
        <v>228</v>
      </c>
      <c r="J189" s="27" t="s">
        <v>229</v>
      </c>
      <c r="K189" s="27" t="s">
        <v>230</v>
      </c>
      <c r="L189" s="27" t="s">
        <v>231</v>
      </c>
      <c r="M189" s="27" t="s">
        <v>232</v>
      </c>
      <c r="N189" s="27" t="s">
        <v>233</v>
      </c>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row>
    <row r="190" ht="15.75" customHeight="1">
      <c r="A190" s="2"/>
      <c r="B190" s="36" t="s">
        <v>234</v>
      </c>
      <c r="C190" s="42">
        <f t="shared" ref="C190:C191" si="95">D85</f>
        <v>1473100</v>
      </c>
      <c r="D190" s="54">
        <f>$C$18</f>
        <v>10</v>
      </c>
      <c r="E190" s="42">
        <f t="shared" ref="E190:E191" si="96">IF(1&lt;=D190,C190/D190,0)</f>
        <v>147310</v>
      </c>
      <c r="F190" s="42">
        <f t="shared" ref="F190:F191" si="97">IF(2&lt;=D190,C190/D190,0)</f>
        <v>147310</v>
      </c>
      <c r="G190" s="42">
        <f t="shared" ref="G190:G191" si="98">IF(3&lt;=D190,C190/D190,0)</f>
        <v>147310</v>
      </c>
      <c r="H190" s="42">
        <f t="shared" ref="H190:H191" si="99">IF(4&lt;=D190,C190/D190,0)</f>
        <v>147310</v>
      </c>
      <c r="I190" s="42">
        <f t="shared" ref="I190:I191" si="100">IF(5&lt;=D190,C190/D190,0)</f>
        <v>147310</v>
      </c>
      <c r="J190" s="42">
        <f t="shared" ref="J190:J191" si="101">IF(6&lt;=D190,C190/D190,0)</f>
        <v>147310</v>
      </c>
      <c r="K190" s="42">
        <f t="shared" ref="K190:K191" si="102">IF(7&lt;=D190,C190/D190,0)</f>
        <v>147310</v>
      </c>
      <c r="L190" s="42">
        <f t="shared" ref="L190:L191" si="103">IF(8&lt;=D190,C190/D190,0)</f>
        <v>147310</v>
      </c>
      <c r="M190" s="42">
        <f t="shared" ref="M190:M191" si="104">IF(9&lt;=D190,C190/D190,0)</f>
        <v>147310</v>
      </c>
      <c r="N190" s="42">
        <f t="shared" ref="N190:N191" si="105">IF(10&lt;=D190,C190/D190,0)</f>
        <v>147310</v>
      </c>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row>
    <row r="191" ht="15.75" customHeight="1">
      <c r="A191" s="2"/>
      <c r="B191" s="36" t="s">
        <v>154</v>
      </c>
      <c r="C191" s="42">
        <f t="shared" si="95"/>
        <v>350000</v>
      </c>
      <c r="D191" s="54">
        <f>$C$20</f>
        <v>20</v>
      </c>
      <c r="E191" s="42">
        <f t="shared" si="96"/>
        <v>17500</v>
      </c>
      <c r="F191" s="42">
        <f t="shared" si="97"/>
        <v>17500</v>
      </c>
      <c r="G191" s="42">
        <f t="shared" si="98"/>
        <v>17500</v>
      </c>
      <c r="H191" s="42">
        <f t="shared" si="99"/>
        <v>17500</v>
      </c>
      <c r="I191" s="42">
        <f t="shared" si="100"/>
        <v>17500</v>
      </c>
      <c r="J191" s="42">
        <f t="shared" si="101"/>
        <v>17500</v>
      </c>
      <c r="K191" s="42">
        <f t="shared" si="102"/>
        <v>17500</v>
      </c>
      <c r="L191" s="42">
        <f t="shared" si="103"/>
        <v>17500</v>
      </c>
      <c r="M191" s="42">
        <f t="shared" si="104"/>
        <v>17500</v>
      </c>
      <c r="N191" s="42">
        <f t="shared" si="105"/>
        <v>17500</v>
      </c>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row>
    <row r="192" ht="15.75" customHeight="1">
      <c r="A192" s="2"/>
      <c r="B192" s="44" t="s">
        <v>235</v>
      </c>
      <c r="C192" s="38"/>
      <c r="D192" s="38"/>
      <c r="E192" s="40">
        <f t="shared" ref="E192:N192" si="106">E190+E191</f>
        <v>164810</v>
      </c>
      <c r="F192" s="40">
        <f t="shared" si="106"/>
        <v>164810</v>
      </c>
      <c r="G192" s="40">
        <f t="shared" si="106"/>
        <v>164810</v>
      </c>
      <c r="H192" s="40">
        <f t="shared" si="106"/>
        <v>164810</v>
      </c>
      <c r="I192" s="40">
        <f t="shared" si="106"/>
        <v>164810</v>
      </c>
      <c r="J192" s="40">
        <f t="shared" si="106"/>
        <v>164810</v>
      </c>
      <c r="K192" s="40">
        <f t="shared" si="106"/>
        <v>164810</v>
      </c>
      <c r="L192" s="40">
        <f t="shared" si="106"/>
        <v>164810</v>
      </c>
      <c r="M192" s="40">
        <f t="shared" si="106"/>
        <v>164810</v>
      </c>
      <c r="N192" s="40">
        <f t="shared" si="106"/>
        <v>164810</v>
      </c>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row>
    <row r="195" ht="15.0" customHeight="1">
      <c r="A195" s="2"/>
      <c r="B195" s="26" t="s">
        <v>237</v>
      </c>
      <c r="C195" s="4"/>
      <c r="D195" s="4"/>
      <c r="E195" s="4"/>
      <c r="F195" s="4"/>
      <c r="G195" s="4"/>
      <c r="H195" s="4"/>
      <c r="I195" s="4"/>
      <c r="J195" s="4"/>
      <c r="K195" s="4"/>
      <c r="L195" s="4"/>
      <c r="M195" s="4"/>
      <c r="N195" s="5"/>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row>
    <row r="196" ht="15.75" customHeight="1">
      <c r="A196" s="2"/>
      <c r="B196" s="27" t="s">
        <v>221</v>
      </c>
      <c r="C196" s="27" t="s">
        <v>222</v>
      </c>
      <c r="D196" s="27" t="s">
        <v>223</v>
      </c>
      <c r="E196" s="27" t="s">
        <v>224</v>
      </c>
      <c r="F196" s="27" t="s">
        <v>225</v>
      </c>
      <c r="G196" s="27" t="s">
        <v>226</v>
      </c>
      <c r="H196" s="27" t="s">
        <v>227</v>
      </c>
      <c r="I196" s="27" t="s">
        <v>228</v>
      </c>
      <c r="J196" s="27" t="s">
        <v>229</v>
      </c>
      <c r="K196" s="27" t="s">
        <v>230</v>
      </c>
      <c r="L196" s="27" t="s">
        <v>231</v>
      </c>
      <c r="M196" s="27" t="s">
        <v>232</v>
      </c>
      <c r="N196" s="27" t="s">
        <v>233</v>
      </c>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row>
    <row r="197" ht="15.75" customHeight="1">
      <c r="A197" s="2"/>
      <c r="B197" s="36" t="s">
        <v>234</v>
      </c>
      <c r="C197" s="42">
        <f t="shared" ref="C197:C198" si="107">E85</f>
        <v>4512000</v>
      </c>
      <c r="D197" s="54">
        <f>$C$18</f>
        <v>10</v>
      </c>
      <c r="E197" s="42">
        <f t="shared" ref="E197:E198" si="108">IF(1&lt;=D197,C197/D197,0)</f>
        <v>451200</v>
      </c>
      <c r="F197" s="42">
        <f t="shared" ref="F197:F198" si="109">IF(2&lt;=D197,C197/D197,0)</f>
        <v>451200</v>
      </c>
      <c r="G197" s="42">
        <f t="shared" ref="G197:G198" si="110">IF(3&lt;=D197,C197/D197,0)</f>
        <v>451200</v>
      </c>
      <c r="H197" s="42">
        <f t="shared" ref="H197:H198" si="111">IF(4&lt;=D197,C197/D197,0)</f>
        <v>451200</v>
      </c>
      <c r="I197" s="42">
        <f t="shared" ref="I197:I198" si="112">IF(5&lt;=D197,C197/D197,0)</f>
        <v>451200</v>
      </c>
      <c r="J197" s="42">
        <f t="shared" ref="J197:J198" si="113">IF(6&lt;=D197,C197/D197,0)</f>
        <v>451200</v>
      </c>
      <c r="K197" s="42">
        <f t="shared" ref="K197:K198" si="114">IF(7&lt;=D197,C197/D197,0)</f>
        <v>451200</v>
      </c>
      <c r="L197" s="42">
        <f t="shared" ref="L197:L198" si="115">IF(8&lt;=D197,C197/D197,0)</f>
        <v>451200</v>
      </c>
      <c r="M197" s="42">
        <f t="shared" ref="M197:M198" si="116">IF(9&lt;=D197,C197/D197,0)</f>
        <v>451200</v>
      </c>
      <c r="N197" s="42">
        <f t="shared" ref="N197:N198" si="117">IF(10&lt;=D197,C197/D197,0)</f>
        <v>451200</v>
      </c>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row>
    <row r="198" ht="15.75" customHeight="1">
      <c r="A198" s="2"/>
      <c r="B198" s="36" t="s">
        <v>154</v>
      </c>
      <c r="C198" s="42">
        <f t="shared" si="107"/>
        <v>950000</v>
      </c>
      <c r="D198" s="54">
        <f>$C$20</f>
        <v>20</v>
      </c>
      <c r="E198" s="42">
        <f t="shared" si="108"/>
        <v>47500</v>
      </c>
      <c r="F198" s="42">
        <f t="shared" si="109"/>
        <v>47500</v>
      </c>
      <c r="G198" s="42">
        <f t="shared" si="110"/>
        <v>47500</v>
      </c>
      <c r="H198" s="42">
        <f t="shared" si="111"/>
        <v>47500</v>
      </c>
      <c r="I198" s="42">
        <f t="shared" si="112"/>
        <v>47500</v>
      </c>
      <c r="J198" s="42">
        <f t="shared" si="113"/>
        <v>47500</v>
      </c>
      <c r="K198" s="42">
        <f t="shared" si="114"/>
        <v>47500</v>
      </c>
      <c r="L198" s="42">
        <f t="shared" si="115"/>
        <v>47500</v>
      </c>
      <c r="M198" s="42">
        <f t="shared" si="116"/>
        <v>47500</v>
      </c>
      <c r="N198" s="42">
        <f t="shared" si="117"/>
        <v>47500</v>
      </c>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row>
    <row r="199" ht="15.75" customHeight="1">
      <c r="A199" s="2"/>
      <c r="B199" s="44" t="s">
        <v>235</v>
      </c>
      <c r="C199" s="38"/>
      <c r="D199" s="38"/>
      <c r="E199" s="40">
        <f t="shared" ref="E199:N199" si="118">E197+E198</f>
        <v>498700</v>
      </c>
      <c r="F199" s="40">
        <f t="shared" si="118"/>
        <v>498700</v>
      </c>
      <c r="G199" s="40">
        <f t="shared" si="118"/>
        <v>498700</v>
      </c>
      <c r="H199" s="40">
        <f t="shared" si="118"/>
        <v>498700</v>
      </c>
      <c r="I199" s="40">
        <f t="shared" si="118"/>
        <v>498700</v>
      </c>
      <c r="J199" s="40">
        <f t="shared" si="118"/>
        <v>498700</v>
      </c>
      <c r="K199" s="40">
        <f t="shared" si="118"/>
        <v>498700</v>
      </c>
      <c r="L199" s="40">
        <f t="shared" si="118"/>
        <v>498700</v>
      </c>
      <c r="M199" s="40">
        <f t="shared" si="118"/>
        <v>498700</v>
      </c>
      <c r="N199" s="40">
        <f t="shared" si="118"/>
        <v>498700</v>
      </c>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row>
    <row r="202" ht="15.0" customHeight="1">
      <c r="A202" s="2"/>
      <c r="B202" s="3" t="s">
        <v>238</v>
      </c>
      <c r="C202" s="4"/>
      <c r="D202" s="4"/>
      <c r="E202" s="4"/>
      <c r="F202" s="4"/>
      <c r="G202" s="4"/>
      <c r="H202" s="4"/>
      <c r="I202" s="4"/>
      <c r="J202" s="4"/>
      <c r="K202" s="4"/>
      <c r="L202" s="4"/>
      <c r="M202" s="4"/>
      <c r="N202" s="4"/>
      <c r="O202" s="5"/>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row>
    <row r="203" ht="15.0" customHeight="1">
      <c r="A203" s="2"/>
      <c r="B203" s="26" t="s">
        <v>239</v>
      </c>
      <c r="C203" s="4"/>
      <c r="D203" s="4"/>
      <c r="E203" s="4"/>
      <c r="F203" s="4"/>
      <c r="G203" s="4"/>
      <c r="H203" s="4"/>
      <c r="I203" s="4"/>
      <c r="J203" s="4"/>
      <c r="K203" s="4"/>
      <c r="L203" s="4"/>
      <c r="M203" s="4"/>
      <c r="N203" s="4"/>
      <c r="O203" s="5"/>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row>
    <row r="204" ht="15.75" customHeight="1">
      <c r="A204" s="2"/>
      <c r="B204" s="55" t="s">
        <v>240</v>
      </c>
      <c r="C204" s="56">
        <f>C89*$C$43</f>
        <v>363238.08</v>
      </c>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row>
    <row r="205" ht="15.75" customHeight="1">
      <c r="A205" s="2"/>
      <c r="B205" s="55" t="s">
        <v>241</v>
      </c>
      <c r="C205" s="57">
        <f>$C$37</f>
        <v>0.14</v>
      </c>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row>
    <row r="206" ht="15.75" customHeight="1">
      <c r="A206" s="2"/>
      <c r="B206" s="55" t="s">
        <v>242</v>
      </c>
      <c r="C206" s="58">
        <f>$C$40</f>
        <v>4</v>
      </c>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row>
    <row r="208" ht="15.75" customHeight="1">
      <c r="A208" s="2"/>
      <c r="B208" s="27" t="s">
        <v>149</v>
      </c>
      <c r="C208" s="27" t="s">
        <v>243</v>
      </c>
      <c r="D208" s="27" t="s">
        <v>192</v>
      </c>
      <c r="E208" s="27" t="s">
        <v>193</v>
      </c>
      <c r="F208" s="27" t="s">
        <v>194</v>
      </c>
      <c r="G208" s="27" t="s">
        <v>195</v>
      </c>
      <c r="H208" s="27" t="s">
        <v>196</v>
      </c>
      <c r="I208" s="27" t="s">
        <v>197</v>
      </c>
      <c r="J208" s="27" t="s">
        <v>198</v>
      </c>
      <c r="K208" s="27" t="s">
        <v>199</v>
      </c>
      <c r="L208" s="27" t="s">
        <v>200</v>
      </c>
      <c r="M208" s="27" t="s">
        <v>201</v>
      </c>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row>
    <row r="209" ht="15.75" customHeight="1">
      <c r="A209" s="2"/>
      <c r="B209" s="36" t="s">
        <v>244</v>
      </c>
      <c r="C209" s="42">
        <v>0.0</v>
      </c>
      <c r="D209" s="42">
        <f t="shared" ref="D209:M209" si="119">C214</f>
        <v>363238.08</v>
      </c>
      <c r="E209" s="42">
        <f t="shared" si="119"/>
        <v>272428.56</v>
      </c>
      <c r="F209" s="42">
        <f t="shared" si="119"/>
        <v>181619.04</v>
      </c>
      <c r="G209" s="42">
        <f t="shared" si="119"/>
        <v>90809.52</v>
      </c>
      <c r="H209" s="42">
        <f t="shared" si="119"/>
        <v>0</v>
      </c>
      <c r="I209" s="42">
        <f t="shared" si="119"/>
        <v>0</v>
      </c>
      <c r="J209" s="42">
        <f t="shared" si="119"/>
        <v>0</v>
      </c>
      <c r="K209" s="42">
        <f t="shared" si="119"/>
        <v>0</v>
      </c>
      <c r="L209" s="42">
        <f t="shared" si="119"/>
        <v>0</v>
      </c>
      <c r="M209" s="42">
        <f t="shared" si="119"/>
        <v>0</v>
      </c>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row>
    <row r="210" ht="15.75" customHeight="1">
      <c r="A210" s="2"/>
      <c r="B210" s="36" t="s">
        <v>245</v>
      </c>
      <c r="C210" s="42">
        <f>C204</f>
        <v>363238.08</v>
      </c>
      <c r="D210" s="42">
        <v>0.0</v>
      </c>
      <c r="E210" s="42">
        <v>0.0</v>
      </c>
      <c r="F210" s="42">
        <v>0.0</v>
      </c>
      <c r="G210" s="42">
        <v>0.0</v>
      </c>
      <c r="H210" s="42">
        <v>0.0</v>
      </c>
      <c r="I210" s="42">
        <v>0.0</v>
      </c>
      <c r="J210" s="42">
        <v>0.0</v>
      </c>
      <c r="K210" s="42">
        <v>0.0</v>
      </c>
      <c r="L210" s="42">
        <v>0.0</v>
      </c>
      <c r="M210" s="42">
        <v>0.0</v>
      </c>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row>
    <row r="211" ht="15.75" customHeight="1">
      <c r="A211" s="2"/>
      <c r="B211" s="36" t="s">
        <v>246</v>
      </c>
      <c r="C211" s="42">
        <v>0.0</v>
      </c>
      <c r="D211" s="42">
        <f>IF(1&lt;=C206,C204/C206,0)</f>
        <v>90809.52</v>
      </c>
      <c r="E211" s="42">
        <f>IF(2&lt;=C206,C204/C206,0)</f>
        <v>90809.52</v>
      </c>
      <c r="F211" s="42">
        <f>IF(3&lt;=C206,C204/C206,0)</f>
        <v>90809.52</v>
      </c>
      <c r="G211" s="42">
        <f>IF(4&lt;=C206,C204/C206,0)</f>
        <v>90809.52</v>
      </c>
      <c r="H211" s="42">
        <f>IF(5&lt;=C206,C204/C206,0)</f>
        <v>0</v>
      </c>
      <c r="I211" s="42">
        <f>IF(6&lt;=C206,C204/C206,0)</f>
        <v>0</v>
      </c>
      <c r="J211" s="42">
        <f>IF(7&lt;=C206,C204/C206,0)</f>
        <v>0</v>
      </c>
      <c r="K211" s="42">
        <f>IF(8&lt;=C206,C204/C206,0)</f>
        <v>0</v>
      </c>
      <c r="L211" s="42">
        <f>IF(9&lt;=C206,C204/C206,0)</f>
        <v>0</v>
      </c>
      <c r="M211" s="42">
        <f>IF(10&lt;=C206,C204/C206,0)</f>
        <v>0</v>
      </c>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row>
    <row r="212" ht="15.75" customHeight="1">
      <c r="A212" s="2"/>
      <c r="B212" s="36" t="s">
        <v>247</v>
      </c>
      <c r="C212" s="42">
        <v>0.0</v>
      </c>
      <c r="D212" s="42">
        <f>D209*C205</f>
        <v>50853.3312</v>
      </c>
      <c r="E212" s="42">
        <f>E209*C205</f>
        <v>38139.9984</v>
      </c>
      <c r="F212" s="42">
        <f>F209*C205</f>
        <v>25426.6656</v>
      </c>
      <c r="G212" s="42">
        <f>G209*C205</f>
        <v>12713.3328</v>
      </c>
      <c r="H212" s="42">
        <f>H209*C205</f>
        <v>0</v>
      </c>
      <c r="I212" s="42">
        <f>I209*C205</f>
        <v>0</v>
      </c>
      <c r="J212" s="42">
        <f>J209*C205</f>
        <v>0</v>
      </c>
      <c r="K212" s="42">
        <f>K209*C205</f>
        <v>0</v>
      </c>
      <c r="L212" s="42">
        <f>L209*C205</f>
        <v>0</v>
      </c>
      <c r="M212" s="42">
        <f>M209*C205</f>
        <v>0</v>
      </c>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row>
    <row r="213" ht="15.75" customHeight="1">
      <c r="A213" s="2"/>
      <c r="B213" s="59" t="s">
        <v>248</v>
      </c>
      <c r="C213" s="60">
        <v>0.0</v>
      </c>
      <c r="D213" s="60">
        <f t="shared" ref="D213:M213" si="120">D211+D212</f>
        <v>141662.8512</v>
      </c>
      <c r="E213" s="60">
        <f t="shared" si="120"/>
        <v>128949.5184</v>
      </c>
      <c r="F213" s="60">
        <f t="shared" si="120"/>
        <v>116236.1856</v>
      </c>
      <c r="G213" s="60">
        <f t="shared" si="120"/>
        <v>103522.8528</v>
      </c>
      <c r="H213" s="60">
        <f t="shared" si="120"/>
        <v>0</v>
      </c>
      <c r="I213" s="60">
        <f t="shared" si="120"/>
        <v>0</v>
      </c>
      <c r="J213" s="60">
        <f t="shared" si="120"/>
        <v>0</v>
      </c>
      <c r="K213" s="60">
        <f t="shared" si="120"/>
        <v>0</v>
      </c>
      <c r="L213" s="60">
        <f t="shared" si="120"/>
        <v>0</v>
      </c>
      <c r="M213" s="60">
        <f t="shared" si="120"/>
        <v>0</v>
      </c>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row>
    <row r="214" ht="15.75" customHeight="1">
      <c r="A214" s="2"/>
      <c r="B214" s="36" t="s">
        <v>249</v>
      </c>
      <c r="C214" s="42">
        <f>C209+C210</f>
        <v>363238.08</v>
      </c>
      <c r="D214" s="42">
        <f t="shared" ref="D214:M214" si="121">D209-D211</f>
        <v>272428.56</v>
      </c>
      <c r="E214" s="42">
        <f t="shared" si="121"/>
        <v>181619.04</v>
      </c>
      <c r="F214" s="42">
        <f t="shared" si="121"/>
        <v>90809.52</v>
      </c>
      <c r="G214" s="42">
        <f t="shared" si="121"/>
        <v>0</v>
      </c>
      <c r="H214" s="42">
        <f t="shared" si="121"/>
        <v>0</v>
      </c>
      <c r="I214" s="42">
        <f t="shared" si="121"/>
        <v>0</v>
      </c>
      <c r="J214" s="42">
        <f t="shared" si="121"/>
        <v>0</v>
      </c>
      <c r="K214" s="42">
        <f t="shared" si="121"/>
        <v>0</v>
      </c>
      <c r="L214" s="42">
        <f t="shared" si="121"/>
        <v>0</v>
      </c>
      <c r="M214" s="42">
        <f t="shared" si="121"/>
        <v>0</v>
      </c>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row>
    <row r="215" ht="15.75" customHeight="1">
      <c r="A215" s="2"/>
      <c r="B215" s="59" t="s">
        <v>250</v>
      </c>
      <c r="C215" s="59" t="s">
        <v>251</v>
      </c>
      <c r="D215" s="61">
        <f t="shared" ref="D215:G215" si="122">IF(D213&lt;&gt;0,C129/D213,"-")</f>
        <v>5.508184668</v>
      </c>
      <c r="E215" s="61">
        <f t="shared" si="122"/>
        <v>9.076867692</v>
      </c>
      <c r="F215" s="61">
        <f t="shared" si="122"/>
        <v>13.42620013</v>
      </c>
      <c r="G215" s="61">
        <f t="shared" si="122"/>
        <v>15.07503172</v>
      </c>
      <c r="H215" s="61" t="str">
        <f t="shared" ref="H215:M215" si="123">IF(ABS(H213)&lt;1,"-",G129/H213)</f>
        <v>-</v>
      </c>
      <c r="I215" s="61" t="str">
        <f t="shared" si="123"/>
        <v>-</v>
      </c>
      <c r="J215" s="61" t="str">
        <f t="shared" si="123"/>
        <v>-</v>
      </c>
      <c r="K215" s="61" t="str">
        <f t="shared" si="123"/>
        <v>-</v>
      </c>
      <c r="L215" s="61" t="str">
        <f t="shared" si="123"/>
        <v>-</v>
      </c>
      <c r="M215" s="61" t="str">
        <f t="shared" si="123"/>
        <v>-</v>
      </c>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row>
    <row r="219" ht="15.0" customHeight="1">
      <c r="A219" s="2"/>
      <c r="B219" s="26" t="s">
        <v>252</v>
      </c>
      <c r="C219" s="4"/>
      <c r="D219" s="4"/>
      <c r="E219" s="4"/>
      <c r="F219" s="4"/>
      <c r="G219" s="4"/>
      <c r="H219" s="4"/>
      <c r="I219" s="4"/>
      <c r="J219" s="4"/>
      <c r="K219" s="4"/>
      <c r="L219" s="4"/>
      <c r="M219" s="4"/>
      <c r="N219" s="4"/>
      <c r="O219" s="5"/>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row>
    <row r="220" ht="15.75" customHeight="1">
      <c r="A220" s="2"/>
      <c r="B220" s="55" t="s">
        <v>240</v>
      </c>
      <c r="C220" s="56">
        <f>D89*$C$44</f>
        <v>1517284.756</v>
      </c>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row>
    <row r="221" ht="15.75" customHeight="1">
      <c r="A221" s="2"/>
      <c r="B221" s="55" t="s">
        <v>241</v>
      </c>
      <c r="C221" s="57">
        <f>$C$38</f>
        <v>0.135</v>
      </c>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row>
    <row r="222" ht="15.75" customHeight="1">
      <c r="A222" s="2"/>
      <c r="B222" s="55" t="s">
        <v>242</v>
      </c>
      <c r="C222" s="58">
        <f>$C$41</f>
        <v>6</v>
      </c>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row>
    <row r="224" ht="15.75" customHeight="1">
      <c r="A224" s="2"/>
      <c r="B224" s="27" t="s">
        <v>149</v>
      </c>
      <c r="C224" s="27" t="s">
        <v>243</v>
      </c>
      <c r="D224" s="27" t="s">
        <v>192</v>
      </c>
      <c r="E224" s="27" t="s">
        <v>193</v>
      </c>
      <c r="F224" s="27" t="s">
        <v>194</v>
      </c>
      <c r="G224" s="27" t="s">
        <v>195</v>
      </c>
      <c r="H224" s="27" t="s">
        <v>196</v>
      </c>
      <c r="I224" s="27" t="s">
        <v>197</v>
      </c>
      <c r="J224" s="27" t="s">
        <v>198</v>
      </c>
      <c r="K224" s="27" t="s">
        <v>199</v>
      </c>
      <c r="L224" s="27" t="s">
        <v>200</v>
      </c>
      <c r="M224" s="27" t="s">
        <v>201</v>
      </c>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row>
    <row r="225" ht="15.75" customHeight="1">
      <c r="A225" s="2"/>
      <c r="B225" s="36" t="s">
        <v>244</v>
      </c>
      <c r="C225" s="42">
        <v>0.0</v>
      </c>
      <c r="D225" s="42">
        <f t="shared" ref="D225:M225" si="124">C230</f>
        <v>1517284.756</v>
      </c>
      <c r="E225" s="42">
        <f t="shared" si="124"/>
        <v>1264403.963</v>
      </c>
      <c r="F225" s="42">
        <f t="shared" si="124"/>
        <v>1011523.171</v>
      </c>
      <c r="G225" s="42">
        <f t="shared" si="124"/>
        <v>758642.378</v>
      </c>
      <c r="H225" s="42">
        <f t="shared" si="124"/>
        <v>505761.5853</v>
      </c>
      <c r="I225" s="42">
        <f t="shared" si="124"/>
        <v>252880.7927</v>
      </c>
      <c r="J225" s="42">
        <f t="shared" si="124"/>
        <v>0</v>
      </c>
      <c r="K225" s="42">
        <f t="shared" si="124"/>
        <v>0</v>
      </c>
      <c r="L225" s="42">
        <f t="shared" si="124"/>
        <v>0</v>
      </c>
      <c r="M225" s="42">
        <f t="shared" si="124"/>
        <v>0</v>
      </c>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row>
    <row r="226" ht="15.75" customHeight="1">
      <c r="A226" s="2"/>
      <c r="B226" s="36" t="s">
        <v>245</v>
      </c>
      <c r="C226" s="42">
        <f>C220</f>
        <v>1517284.756</v>
      </c>
      <c r="D226" s="42">
        <v>0.0</v>
      </c>
      <c r="E226" s="42">
        <v>0.0</v>
      </c>
      <c r="F226" s="42">
        <v>0.0</v>
      </c>
      <c r="G226" s="42">
        <v>0.0</v>
      </c>
      <c r="H226" s="42">
        <v>0.0</v>
      </c>
      <c r="I226" s="42">
        <v>0.0</v>
      </c>
      <c r="J226" s="42">
        <v>0.0</v>
      </c>
      <c r="K226" s="42">
        <v>0.0</v>
      </c>
      <c r="L226" s="42">
        <v>0.0</v>
      </c>
      <c r="M226" s="42">
        <v>0.0</v>
      </c>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row>
    <row r="227" ht="15.75" customHeight="1">
      <c r="A227" s="2"/>
      <c r="B227" s="36" t="s">
        <v>246</v>
      </c>
      <c r="C227" s="42">
        <v>0.0</v>
      </c>
      <c r="D227" s="42">
        <f>IF(1&lt;=C222,C220/C222,0)</f>
        <v>252880.7927</v>
      </c>
      <c r="E227" s="42">
        <f>IF(2&lt;=C222,C220/C222,0)</f>
        <v>252880.7927</v>
      </c>
      <c r="F227" s="42">
        <f>IF(3&lt;=C222,C220/C222,0)</f>
        <v>252880.7927</v>
      </c>
      <c r="G227" s="42">
        <f>IF(4&lt;=C222,C220/C222,0)</f>
        <v>252880.7927</v>
      </c>
      <c r="H227" s="42">
        <f>IF(5&lt;=C222,C220/C222,0)</f>
        <v>252880.7927</v>
      </c>
      <c r="I227" s="42">
        <f>IF(6&lt;=C222,C220/C222,0)</f>
        <v>252880.7927</v>
      </c>
      <c r="J227" s="42">
        <f>IF(7&lt;=C222,C220/C222,0)</f>
        <v>0</v>
      </c>
      <c r="K227" s="42">
        <f>IF(8&lt;=C222,C220/C222,0)</f>
        <v>0</v>
      </c>
      <c r="L227" s="42">
        <f>IF(9&lt;=C222,C220/C222,0)</f>
        <v>0</v>
      </c>
      <c r="M227" s="42">
        <f>IF(10&lt;=C222,C220/C222,0)</f>
        <v>0</v>
      </c>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row>
    <row r="228" ht="15.75" customHeight="1">
      <c r="A228" s="2"/>
      <c r="B228" s="36" t="s">
        <v>247</v>
      </c>
      <c r="C228" s="42">
        <v>0.0</v>
      </c>
      <c r="D228" s="42">
        <f>D225*C221</f>
        <v>204833.4421</v>
      </c>
      <c r="E228" s="42">
        <f>E225*C221</f>
        <v>170694.5351</v>
      </c>
      <c r="F228" s="42">
        <f>F225*C221</f>
        <v>136555.628</v>
      </c>
      <c r="G228" s="42">
        <f>G225*C221</f>
        <v>102416.721</v>
      </c>
      <c r="H228" s="42">
        <f>H225*C221</f>
        <v>68277.81402</v>
      </c>
      <c r="I228" s="42">
        <f>I225*C221</f>
        <v>34138.90701</v>
      </c>
      <c r="J228" s="42">
        <f>J225*C221</f>
        <v>0</v>
      </c>
      <c r="K228" s="42">
        <f>K225*C221</f>
        <v>0</v>
      </c>
      <c r="L228" s="42">
        <f>L225*C221</f>
        <v>0</v>
      </c>
      <c r="M228" s="42">
        <f>M225*C221</f>
        <v>0</v>
      </c>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row>
    <row r="229" ht="15.75" customHeight="1">
      <c r="A229" s="2"/>
      <c r="B229" s="59" t="s">
        <v>248</v>
      </c>
      <c r="C229" s="60">
        <v>0.0</v>
      </c>
      <c r="D229" s="60">
        <f t="shared" ref="D229:M229" si="125">D227+D228</f>
        <v>457714.2347</v>
      </c>
      <c r="E229" s="60">
        <f t="shared" si="125"/>
        <v>423575.3277</v>
      </c>
      <c r="F229" s="60">
        <f t="shared" si="125"/>
        <v>389436.4207</v>
      </c>
      <c r="G229" s="60">
        <f t="shared" si="125"/>
        <v>355297.5137</v>
      </c>
      <c r="H229" s="60">
        <f t="shared" si="125"/>
        <v>321158.6067</v>
      </c>
      <c r="I229" s="60">
        <f t="shared" si="125"/>
        <v>287019.6997</v>
      </c>
      <c r="J229" s="60">
        <f t="shared" si="125"/>
        <v>0</v>
      </c>
      <c r="K229" s="60">
        <f t="shared" si="125"/>
        <v>0</v>
      </c>
      <c r="L229" s="60">
        <f t="shared" si="125"/>
        <v>0</v>
      </c>
      <c r="M229" s="60">
        <f t="shared" si="125"/>
        <v>0</v>
      </c>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row>
    <row r="230" ht="15.75" customHeight="1">
      <c r="A230" s="2"/>
      <c r="B230" s="36" t="s">
        <v>249</v>
      </c>
      <c r="C230" s="42">
        <f>C225+C226</f>
        <v>1517284.756</v>
      </c>
      <c r="D230" s="42">
        <f t="shared" ref="D230:M230" si="126">D225-D227</f>
        <v>1264403.963</v>
      </c>
      <c r="E230" s="42">
        <f t="shared" si="126"/>
        <v>1011523.171</v>
      </c>
      <c r="F230" s="42">
        <f t="shared" si="126"/>
        <v>758642.378</v>
      </c>
      <c r="G230" s="42">
        <f t="shared" si="126"/>
        <v>505761.5853</v>
      </c>
      <c r="H230" s="42">
        <f t="shared" si="126"/>
        <v>252880.7927</v>
      </c>
      <c r="I230" s="42">
        <f t="shared" si="126"/>
        <v>0</v>
      </c>
      <c r="J230" s="42">
        <f t="shared" si="126"/>
        <v>0</v>
      </c>
      <c r="K230" s="42">
        <f t="shared" si="126"/>
        <v>0</v>
      </c>
      <c r="L230" s="42">
        <f t="shared" si="126"/>
        <v>0</v>
      </c>
      <c r="M230" s="42">
        <f t="shared" si="126"/>
        <v>0</v>
      </c>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row>
    <row r="231" ht="15.75" customHeight="1">
      <c r="A231" s="2"/>
      <c r="B231" s="59" t="s">
        <v>250</v>
      </c>
      <c r="C231" s="59" t="s">
        <v>251</v>
      </c>
      <c r="D231" s="61">
        <f t="shared" ref="D231:M231" si="127">IF(D229&lt;&gt;0,C148/D229,"-")</f>
        <v>8.688174669</v>
      </c>
      <c r="E231" s="61">
        <f t="shared" si="127"/>
        <v>14.08262342</v>
      </c>
      <c r="F231" s="61">
        <f t="shared" si="127"/>
        <v>20.42285215</v>
      </c>
      <c r="G231" s="61">
        <f t="shared" si="127"/>
        <v>22.38519025</v>
      </c>
      <c r="H231" s="61">
        <f t="shared" si="127"/>
        <v>24.76471835</v>
      </c>
      <c r="I231" s="61">
        <f t="shared" si="127"/>
        <v>27.71030159</v>
      </c>
      <c r="J231" s="61" t="str">
        <f t="shared" si="127"/>
        <v>-</v>
      </c>
      <c r="K231" s="61" t="str">
        <f t="shared" si="127"/>
        <v>-</v>
      </c>
      <c r="L231" s="61" t="str">
        <f t="shared" si="127"/>
        <v>-</v>
      </c>
      <c r="M231" s="61" t="str">
        <f t="shared" si="127"/>
        <v>-</v>
      </c>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row>
    <row r="235" ht="15.0" customHeight="1">
      <c r="A235" s="2"/>
      <c r="B235" s="26" t="s">
        <v>253</v>
      </c>
      <c r="C235" s="4"/>
      <c r="D235" s="4"/>
      <c r="E235" s="4"/>
      <c r="F235" s="4"/>
      <c r="G235" s="4"/>
      <c r="H235" s="4"/>
      <c r="I235" s="4"/>
      <c r="J235" s="4"/>
      <c r="K235" s="4"/>
      <c r="L235" s="4"/>
      <c r="M235" s="4"/>
      <c r="N235" s="4"/>
      <c r="O235" s="5"/>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row>
    <row r="236" ht="15.75" customHeight="1">
      <c r="A236" s="2"/>
      <c r="B236" s="55" t="s">
        <v>240</v>
      </c>
      <c r="C236" s="56">
        <f>E89*$C$45</f>
        <v>4992158.687</v>
      </c>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row>
    <row r="237" ht="15.75" customHeight="1">
      <c r="A237" s="2"/>
      <c r="B237" s="55" t="s">
        <v>241</v>
      </c>
      <c r="C237" s="57">
        <f>$C$39</f>
        <v>0.13</v>
      </c>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row>
    <row r="238" ht="15.75" customHeight="1">
      <c r="A238" s="2"/>
      <c r="B238" s="55" t="s">
        <v>242</v>
      </c>
      <c r="C238" s="58">
        <f>$C$42</f>
        <v>8</v>
      </c>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row>
    <row r="240" ht="15.75" customHeight="1">
      <c r="A240" s="2"/>
      <c r="B240" s="27" t="s">
        <v>149</v>
      </c>
      <c r="C240" s="27" t="s">
        <v>243</v>
      </c>
      <c r="D240" s="27" t="s">
        <v>192</v>
      </c>
      <c r="E240" s="27" t="s">
        <v>193</v>
      </c>
      <c r="F240" s="27" t="s">
        <v>194</v>
      </c>
      <c r="G240" s="27" t="s">
        <v>195</v>
      </c>
      <c r="H240" s="27" t="s">
        <v>196</v>
      </c>
      <c r="I240" s="27" t="s">
        <v>197</v>
      </c>
      <c r="J240" s="27" t="s">
        <v>198</v>
      </c>
      <c r="K240" s="27" t="s">
        <v>199</v>
      </c>
      <c r="L240" s="27" t="s">
        <v>200</v>
      </c>
      <c r="M240" s="27" t="s">
        <v>201</v>
      </c>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row>
    <row r="241" ht="15.75" customHeight="1">
      <c r="A241" s="2"/>
      <c r="B241" s="36" t="s">
        <v>244</v>
      </c>
      <c r="C241" s="42">
        <v>0.0</v>
      </c>
      <c r="D241" s="42">
        <f t="shared" ref="D241:M241" si="128">C246</f>
        <v>4992158.687</v>
      </c>
      <c r="E241" s="42">
        <f t="shared" si="128"/>
        <v>4368138.851</v>
      </c>
      <c r="F241" s="42">
        <f t="shared" si="128"/>
        <v>3744119.015</v>
      </c>
      <c r="G241" s="42">
        <f t="shared" si="128"/>
        <v>3120099.179</v>
      </c>
      <c r="H241" s="42">
        <f t="shared" si="128"/>
        <v>2496079.343</v>
      </c>
      <c r="I241" s="42">
        <f t="shared" si="128"/>
        <v>1872059.508</v>
      </c>
      <c r="J241" s="42">
        <f t="shared" si="128"/>
        <v>1248039.672</v>
      </c>
      <c r="K241" s="42">
        <f t="shared" si="128"/>
        <v>624019.8358</v>
      </c>
      <c r="L241" s="42">
        <f t="shared" si="128"/>
        <v>-0.000000000698491931</v>
      </c>
      <c r="M241" s="42">
        <f t="shared" si="128"/>
        <v>-0.000000000698491931</v>
      </c>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row>
    <row r="242" ht="15.75" customHeight="1">
      <c r="A242" s="2"/>
      <c r="B242" s="36" t="s">
        <v>245</v>
      </c>
      <c r="C242" s="42">
        <f>C236</f>
        <v>4992158.687</v>
      </c>
      <c r="D242" s="42">
        <v>0.0</v>
      </c>
      <c r="E242" s="42">
        <v>0.0</v>
      </c>
      <c r="F242" s="42">
        <v>0.0</v>
      </c>
      <c r="G242" s="42">
        <v>0.0</v>
      </c>
      <c r="H242" s="42">
        <v>0.0</v>
      </c>
      <c r="I242" s="42">
        <v>0.0</v>
      </c>
      <c r="J242" s="42">
        <v>0.0</v>
      </c>
      <c r="K242" s="42">
        <v>0.0</v>
      </c>
      <c r="L242" s="42">
        <v>0.0</v>
      </c>
      <c r="M242" s="42">
        <v>0.0</v>
      </c>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row>
    <row r="243" ht="15.75" customHeight="1">
      <c r="A243" s="2"/>
      <c r="B243" s="36" t="s">
        <v>246</v>
      </c>
      <c r="C243" s="42">
        <v>0.0</v>
      </c>
      <c r="D243" s="42">
        <f>IF(1&lt;=C238,C236/C238,0)</f>
        <v>624019.8358</v>
      </c>
      <c r="E243" s="42">
        <f>IF(2&lt;=C238,C236/C238,0)</f>
        <v>624019.8358</v>
      </c>
      <c r="F243" s="42">
        <f>IF(3&lt;=C238,C236/C238,0)</f>
        <v>624019.8358</v>
      </c>
      <c r="G243" s="42">
        <f>IF(4&lt;=C238,C236/C238,0)</f>
        <v>624019.8358</v>
      </c>
      <c r="H243" s="42">
        <f>IF(5&lt;=C238,C236/C238,0)</f>
        <v>624019.8358</v>
      </c>
      <c r="I243" s="42">
        <f>IF(6&lt;=C238,C236/C238,0)</f>
        <v>624019.8358</v>
      </c>
      <c r="J243" s="42">
        <f>IF(7&lt;=C238,C236/C238,0)</f>
        <v>624019.8358</v>
      </c>
      <c r="K243" s="42">
        <f>IF(8&lt;=C238,C236/C238,0)</f>
        <v>624019.8358</v>
      </c>
      <c r="L243" s="42">
        <f>IF(9&lt;=C238,C236/C238,0)</f>
        <v>0</v>
      </c>
      <c r="M243" s="42">
        <f>IF(10&lt;=C238,C236/C238,0)</f>
        <v>0</v>
      </c>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row>
    <row r="244" ht="15.75" customHeight="1">
      <c r="A244" s="2"/>
      <c r="B244" s="36" t="s">
        <v>247</v>
      </c>
      <c r="C244" s="42">
        <v>0.0</v>
      </c>
      <c r="D244" s="42">
        <f>D241*C237</f>
        <v>648980.6293</v>
      </c>
      <c r="E244" s="42">
        <f>E241*C237</f>
        <v>567858.0506</v>
      </c>
      <c r="F244" s="42">
        <f>F241*C237</f>
        <v>486735.472</v>
      </c>
      <c r="G244" s="42">
        <f>G241*C237</f>
        <v>405612.8933</v>
      </c>
      <c r="H244" s="42">
        <f>H241*C237</f>
        <v>324490.3146</v>
      </c>
      <c r="I244" s="42">
        <f>I241*C237</f>
        <v>243367.736</v>
      </c>
      <c r="J244" s="42">
        <f>J241*C237</f>
        <v>162245.1573</v>
      </c>
      <c r="K244" s="42">
        <f>K241*C237</f>
        <v>81122.57866</v>
      </c>
      <c r="L244" s="42">
        <f>L241*C237</f>
        <v>0</v>
      </c>
      <c r="M244" s="42">
        <f>M241*C237</f>
        <v>0</v>
      </c>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row>
    <row r="245" ht="15.75" customHeight="1">
      <c r="A245" s="2"/>
      <c r="B245" s="59" t="s">
        <v>248</v>
      </c>
      <c r="C245" s="60">
        <v>0.0</v>
      </c>
      <c r="D245" s="60">
        <f t="shared" ref="D245:M245" si="129">D243+D244</f>
        <v>1273000.465</v>
      </c>
      <c r="E245" s="60">
        <f t="shared" si="129"/>
        <v>1191877.886</v>
      </c>
      <c r="F245" s="60">
        <f t="shared" si="129"/>
        <v>1110755.308</v>
      </c>
      <c r="G245" s="60">
        <f t="shared" si="129"/>
        <v>1029632.729</v>
      </c>
      <c r="H245" s="60">
        <f t="shared" si="129"/>
        <v>948510.1505</v>
      </c>
      <c r="I245" s="60">
        <f t="shared" si="129"/>
        <v>867387.5718</v>
      </c>
      <c r="J245" s="60">
        <f t="shared" si="129"/>
        <v>786264.9932</v>
      </c>
      <c r="K245" s="60">
        <f t="shared" si="129"/>
        <v>705142.4145</v>
      </c>
      <c r="L245" s="60">
        <f t="shared" si="129"/>
        <v>0</v>
      </c>
      <c r="M245" s="60">
        <f t="shared" si="129"/>
        <v>0</v>
      </c>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row>
    <row r="246" ht="15.75" customHeight="1">
      <c r="A246" s="2"/>
      <c r="B246" s="36" t="s">
        <v>249</v>
      </c>
      <c r="C246" s="42">
        <f>C241+C242</f>
        <v>4992158.687</v>
      </c>
      <c r="D246" s="42">
        <f t="shared" ref="D246:M246" si="130">D241-D243</f>
        <v>4368138.851</v>
      </c>
      <c r="E246" s="42">
        <f t="shared" si="130"/>
        <v>3744119.015</v>
      </c>
      <c r="F246" s="42">
        <f t="shared" si="130"/>
        <v>3120099.179</v>
      </c>
      <c r="G246" s="42">
        <f t="shared" si="130"/>
        <v>2496079.343</v>
      </c>
      <c r="H246" s="42">
        <f t="shared" si="130"/>
        <v>1872059.508</v>
      </c>
      <c r="I246" s="42">
        <f t="shared" si="130"/>
        <v>1248039.672</v>
      </c>
      <c r="J246" s="42">
        <f t="shared" si="130"/>
        <v>624019.8358</v>
      </c>
      <c r="K246" s="42">
        <f t="shared" si="130"/>
        <v>-0.000000000698491931</v>
      </c>
      <c r="L246" s="42">
        <f t="shared" si="130"/>
        <v>-0.000000000698491931</v>
      </c>
      <c r="M246" s="42">
        <f t="shared" si="130"/>
        <v>-0.000000000698491931</v>
      </c>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row>
    <row r="247" ht="15.75" customHeight="1">
      <c r="A247" s="2"/>
      <c r="B247" s="59" t="s">
        <v>250</v>
      </c>
      <c r="C247" s="59" t="s">
        <v>251</v>
      </c>
      <c r="D247" s="61">
        <f t="shared" ref="D247:J247" si="131">IF(D245&lt;&gt;0,C167/D245,"-")</f>
        <v>12.1327797</v>
      </c>
      <c r="E247" s="61">
        <f t="shared" si="131"/>
        <v>19.43785648</v>
      </c>
      <c r="F247" s="61">
        <f t="shared" si="131"/>
        <v>27.80996695</v>
      </c>
      <c r="G247" s="61">
        <f t="shared" si="131"/>
        <v>30.00105526</v>
      </c>
      <c r="H247" s="61">
        <f t="shared" si="131"/>
        <v>32.56693498</v>
      </c>
      <c r="I247" s="61">
        <f t="shared" si="131"/>
        <v>35.61276343</v>
      </c>
      <c r="J247" s="61">
        <f t="shared" si="131"/>
        <v>39.28709617</v>
      </c>
      <c r="K247" s="61">
        <f t="shared" ref="K247:M247" si="132">IF(ABS(K245)&lt;1,"-",J167/K245)</f>
        <v>43.8068506</v>
      </c>
      <c r="L247" s="61" t="str">
        <f t="shared" si="132"/>
        <v>-</v>
      </c>
      <c r="M247" s="61" t="str">
        <f t="shared" si="132"/>
        <v>-</v>
      </c>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row>
    <row r="251" ht="15.0" customHeight="1">
      <c r="A251" s="2"/>
      <c r="B251" s="3" t="s">
        <v>254</v>
      </c>
      <c r="C251" s="4"/>
      <c r="D251" s="4"/>
      <c r="E251" s="4"/>
      <c r="F251" s="4"/>
      <c r="G251" s="4"/>
      <c r="H251" s="4"/>
      <c r="I251" s="4"/>
      <c r="J251" s="4"/>
      <c r="K251" s="4"/>
      <c r="L251" s="4"/>
      <c r="M251" s="4"/>
      <c r="N251" s="4"/>
      <c r="O251" s="5"/>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row>
    <row r="252" ht="15.0" customHeight="1">
      <c r="A252" s="2"/>
      <c r="B252" s="26" t="s">
        <v>255</v>
      </c>
      <c r="C252" s="4"/>
      <c r="D252" s="4"/>
      <c r="E252" s="4"/>
      <c r="F252" s="4"/>
      <c r="G252" s="4"/>
      <c r="H252" s="4"/>
      <c r="I252" s="4"/>
      <c r="J252" s="4"/>
      <c r="K252" s="4"/>
      <c r="L252" s="4"/>
      <c r="M252" s="4"/>
      <c r="N252" s="4"/>
      <c r="O252" s="5"/>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row>
    <row r="253" ht="15.75" customHeight="1">
      <c r="A253" s="2"/>
      <c r="B253" s="27" t="s">
        <v>149</v>
      </c>
      <c r="C253" s="27" t="s">
        <v>243</v>
      </c>
      <c r="D253" s="27" t="s">
        <v>192</v>
      </c>
      <c r="E253" s="27" t="s">
        <v>193</v>
      </c>
      <c r="F253" s="27" t="s">
        <v>194</v>
      </c>
      <c r="G253" s="27" t="s">
        <v>195</v>
      </c>
      <c r="H253" s="27" t="s">
        <v>196</v>
      </c>
      <c r="I253" s="27" t="s">
        <v>197</v>
      </c>
      <c r="J253" s="27" t="s">
        <v>198</v>
      </c>
      <c r="K253" s="27" t="s">
        <v>199</v>
      </c>
      <c r="L253" s="27" t="s">
        <v>200</v>
      </c>
      <c r="M253" s="27" t="s">
        <v>201</v>
      </c>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row>
    <row r="254" ht="15.75" customHeight="1">
      <c r="A254" s="2"/>
      <c r="B254" s="36" t="s">
        <v>206</v>
      </c>
      <c r="C254" s="42">
        <v>0.0</v>
      </c>
      <c r="D254" s="42">
        <f t="shared" ref="D254:M254" si="133">C129</f>
        <v>780305.145</v>
      </c>
      <c r="E254" s="42">
        <f t="shared" si="133"/>
        <v>1170457.718</v>
      </c>
      <c r="F254" s="42">
        <f t="shared" si="133"/>
        <v>1560610.29</v>
      </c>
      <c r="G254" s="42">
        <f t="shared" si="133"/>
        <v>1560610.29</v>
      </c>
      <c r="H254" s="42">
        <f t="shared" si="133"/>
        <v>1560610.29</v>
      </c>
      <c r="I254" s="42">
        <f t="shared" si="133"/>
        <v>1560610.29</v>
      </c>
      <c r="J254" s="42">
        <f t="shared" si="133"/>
        <v>1560610.29</v>
      </c>
      <c r="K254" s="42">
        <f t="shared" si="133"/>
        <v>1560610.29</v>
      </c>
      <c r="L254" s="42">
        <f t="shared" si="133"/>
        <v>1560610.29</v>
      </c>
      <c r="M254" s="42">
        <f t="shared" si="133"/>
        <v>1560610.29</v>
      </c>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row>
    <row r="255" ht="15.75" customHeight="1">
      <c r="A255" s="2"/>
      <c r="B255" s="36" t="s">
        <v>256</v>
      </c>
      <c r="C255" s="42">
        <f>-C89</f>
        <v>-726476.16</v>
      </c>
      <c r="D255" s="42">
        <v>0.0</v>
      </c>
      <c r="E255" s="42">
        <v>0.0</v>
      </c>
      <c r="F255" s="42">
        <v>0.0</v>
      </c>
      <c r="G255" s="42">
        <v>0.0</v>
      </c>
      <c r="H255" s="42">
        <v>0.0</v>
      </c>
      <c r="I255" s="42">
        <v>0.0</v>
      </c>
      <c r="J255" s="42">
        <v>0.0</v>
      </c>
      <c r="K255" s="42">
        <v>0.0</v>
      </c>
      <c r="L255" s="42">
        <v>0.0</v>
      </c>
      <c r="M255" s="42">
        <v>0.0</v>
      </c>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row>
    <row r="256" ht="15.75" customHeight="1">
      <c r="A256" s="2"/>
      <c r="B256" s="36" t="s">
        <v>257</v>
      </c>
      <c r="C256" s="42">
        <v>0.0</v>
      </c>
      <c r="D256" s="42">
        <v>0.0</v>
      </c>
      <c r="E256" s="42">
        <v>0.0</v>
      </c>
      <c r="F256" s="42">
        <v>0.0</v>
      </c>
      <c r="G256" s="42">
        <v>0.0</v>
      </c>
      <c r="H256" s="42">
        <v>0.0</v>
      </c>
      <c r="I256" s="42">
        <v>0.0</v>
      </c>
      <c r="J256" s="42">
        <v>0.0</v>
      </c>
      <c r="K256" s="42">
        <v>0.0</v>
      </c>
      <c r="L256" s="42">
        <v>0.0</v>
      </c>
      <c r="M256" s="42">
        <v>0.0</v>
      </c>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row>
    <row r="257" ht="15.75" customHeight="1">
      <c r="A257" s="2"/>
      <c r="B257" s="36" t="s">
        <v>258</v>
      </c>
      <c r="C257" s="42">
        <f>-C88</f>
        <v>-221676.16</v>
      </c>
      <c r="D257" s="42">
        <v>0.0</v>
      </c>
      <c r="E257" s="42">
        <v>0.0</v>
      </c>
      <c r="F257" s="42">
        <v>0.0</v>
      </c>
      <c r="G257" s="42">
        <v>0.0</v>
      </c>
      <c r="H257" s="42">
        <v>0.0</v>
      </c>
      <c r="I257" s="42">
        <v>0.0</v>
      </c>
      <c r="J257" s="42">
        <v>0.0</v>
      </c>
      <c r="K257" s="42">
        <v>0.0</v>
      </c>
      <c r="L257" s="42">
        <v>0.0</v>
      </c>
      <c r="M257" s="42">
        <v>0.0</v>
      </c>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row>
    <row r="258" ht="15.75" customHeight="1">
      <c r="A258" s="2"/>
      <c r="B258" s="36" t="s">
        <v>259</v>
      </c>
      <c r="C258" s="42">
        <v>0.0</v>
      </c>
      <c r="D258" s="42">
        <f t="shared" ref="D258:M258" si="134">-D213</f>
        <v>-141662.8512</v>
      </c>
      <c r="E258" s="42">
        <f t="shared" si="134"/>
        <v>-128949.5184</v>
      </c>
      <c r="F258" s="42">
        <f t="shared" si="134"/>
        <v>-116236.1856</v>
      </c>
      <c r="G258" s="42">
        <f t="shared" si="134"/>
        <v>-103522.8528</v>
      </c>
      <c r="H258" s="42">
        <f t="shared" si="134"/>
        <v>0</v>
      </c>
      <c r="I258" s="42">
        <f t="shared" si="134"/>
        <v>0</v>
      </c>
      <c r="J258" s="42">
        <f t="shared" si="134"/>
        <v>0</v>
      </c>
      <c r="K258" s="42">
        <f t="shared" si="134"/>
        <v>0</v>
      </c>
      <c r="L258" s="42">
        <f t="shared" si="134"/>
        <v>0</v>
      </c>
      <c r="M258" s="42">
        <f t="shared" si="134"/>
        <v>0</v>
      </c>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row>
    <row r="259" ht="15.75" customHeight="1">
      <c r="A259" s="2"/>
      <c r="B259" s="59" t="s">
        <v>260</v>
      </c>
      <c r="C259" s="40">
        <f t="shared" ref="C259:M259" si="135">C254+C255+C256+C257+C258</f>
        <v>-948152.32</v>
      </c>
      <c r="D259" s="40">
        <f t="shared" si="135"/>
        <v>638642.2938</v>
      </c>
      <c r="E259" s="40">
        <f t="shared" si="135"/>
        <v>1041508.199</v>
      </c>
      <c r="F259" s="40">
        <f t="shared" si="135"/>
        <v>1444374.104</v>
      </c>
      <c r="G259" s="40">
        <f t="shared" si="135"/>
        <v>1457087.437</v>
      </c>
      <c r="H259" s="40">
        <f t="shared" si="135"/>
        <v>1560610.29</v>
      </c>
      <c r="I259" s="40">
        <f t="shared" si="135"/>
        <v>1560610.29</v>
      </c>
      <c r="J259" s="40">
        <f t="shared" si="135"/>
        <v>1560610.29</v>
      </c>
      <c r="K259" s="40">
        <f t="shared" si="135"/>
        <v>1560610.29</v>
      </c>
      <c r="L259" s="40">
        <f t="shared" si="135"/>
        <v>1560610.29</v>
      </c>
      <c r="M259" s="40">
        <f t="shared" si="135"/>
        <v>1560610.29</v>
      </c>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row>
    <row r="260" ht="15.75" customHeight="1">
      <c r="A260" s="2"/>
      <c r="B260" s="59" t="s">
        <v>261</v>
      </c>
      <c r="C260" s="60">
        <f>C259</f>
        <v>-948152.32</v>
      </c>
      <c r="D260" s="60">
        <f t="shared" ref="D260:M260" si="136">C260+D259</f>
        <v>-309510.0262</v>
      </c>
      <c r="E260" s="60">
        <f t="shared" si="136"/>
        <v>731998.1729</v>
      </c>
      <c r="F260" s="60">
        <f t="shared" si="136"/>
        <v>2176372.277</v>
      </c>
      <c r="G260" s="60">
        <f t="shared" si="136"/>
        <v>3633459.715</v>
      </c>
      <c r="H260" s="60">
        <f t="shared" si="136"/>
        <v>5194070.005</v>
      </c>
      <c r="I260" s="60">
        <f t="shared" si="136"/>
        <v>6754680.295</v>
      </c>
      <c r="J260" s="60">
        <f t="shared" si="136"/>
        <v>8315290.585</v>
      </c>
      <c r="K260" s="60">
        <f t="shared" si="136"/>
        <v>9875900.875</v>
      </c>
      <c r="L260" s="60">
        <f t="shared" si="136"/>
        <v>11436511.16</v>
      </c>
      <c r="M260" s="60">
        <f t="shared" si="136"/>
        <v>12997121.45</v>
      </c>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row>
    <row r="264" ht="15.0" customHeight="1">
      <c r="A264" s="2"/>
      <c r="B264" s="26" t="s">
        <v>262</v>
      </c>
      <c r="C264" s="4"/>
      <c r="D264" s="4"/>
      <c r="E264" s="4"/>
      <c r="F264" s="4"/>
      <c r="G264" s="4"/>
      <c r="H264" s="4"/>
      <c r="I264" s="4"/>
      <c r="J264" s="4"/>
      <c r="K264" s="4"/>
      <c r="L264" s="4"/>
      <c r="M264" s="4"/>
      <c r="N264" s="4"/>
      <c r="O264" s="5"/>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row>
    <row r="265" ht="15.75" customHeight="1">
      <c r="A265" s="2"/>
      <c r="B265" s="27" t="s">
        <v>149</v>
      </c>
      <c r="C265" s="27" t="s">
        <v>243</v>
      </c>
      <c r="D265" s="27" t="s">
        <v>192</v>
      </c>
      <c r="E265" s="27" t="s">
        <v>193</v>
      </c>
      <c r="F265" s="27" t="s">
        <v>194</v>
      </c>
      <c r="G265" s="27" t="s">
        <v>195</v>
      </c>
      <c r="H265" s="27" t="s">
        <v>196</v>
      </c>
      <c r="I265" s="27" t="s">
        <v>197</v>
      </c>
      <c r="J265" s="27" t="s">
        <v>198</v>
      </c>
      <c r="K265" s="27" t="s">
        <v>199</v>
      </c>
      <c r="L265" s="27" t="s">
        <v>200</v>
      </c>
      <c r="M265" s="27" t="s">
        <v>201</v>
      </c>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row>
    <row r="266" ht="15.75" customHeight="1">
      <c r="A266" s="2"/>
      <c r="B266" s="36" t="s">
        <v>206</v>
      </c>
      <c r="C266" s="42">
        <v>0.0</v>
      </c>
      <c r="D266" s="42">
        <f t="shared" ref="D266:M266" si="137">C148</f>
        <v>3976701.22</v>
      </c>
      <c r="E266" s="42">
        <f t="shared" si="137"/>
        <v>5965051.83</v>
      </c>
      <c r="F266" s="42">
        <f t="shared" si="137"/>
        <v>7953402.44</v>
      </c>
      <c r="G266" s="42">
        <f t="shared" si="137"/>
        <v>7953402.44</v>
      </c>
      <c r="H266" s="42">
        <f t="shared" si="137"/>
        <v>7953402.44</v>
      </c>
      <c r="I266" s="42">
        <f t="shared" si="137"/>
        <v>7953402.44</v>
      </c>
      <c r="J266" s="42">
        <f t="shared" si="137"/>
        <v>7953402.44</v>
      </c>
      <c r="K266" s="42">
        <f t="shared" si="137"/>
        <v>7953402.44</v>
      </c>
      <c r="L266" s="42">
        <f t="shared" si="137"/>
        <v>7953402.44</v>
      </c>
      <c r="M266" s="42">
        <f t="shared" si="137"/>
        <v>7953402.44</v>
      </c>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row>
    <row r="267" ht="15.75" customHeight="1">
      <c r="A267" s="2"/>
      <c r="B267" s="36" t="s">
        <v>256</v>
      </c>
      <c r="C267" s="42">
        <f>-D89</f>
        <v>-2528807.927</v>
      </c>
      <c r="D267" s="42">
        <v>0.0</v>
      </c>
      <c r="E267" s="42">
        <v>0.0</v>
      </c>
      <c r="F267" s="42">
        <v>0.0</v>
      </c>
      <c r="G267" s="42">
        <v>0.0</v>
      </c>
      <c r="H267" s="42">
        <v>0.0</v>
      </c>
      <c r="I267" s="42">
        <v>0.0</v>
      </c>
      <c r="J267" s="42">
        <v>0.0</v>
      </c>
      <c r="K267" s="42">
        <v>0.0</v>
      </c>
      <c r="L267" s="42">
        <v>0.0</v>
      </c>
      <c r="M267" s="42">
        <v>0.0</v>
      </c>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row>
    <row r="268" ht="15.75" customHeight="1">
      <c r="A268" s="2"/>
      <c r="B268" s="36" t="s">
        <v>257</v>
      </c>
      <c r="C268" s="42">
        <v>0.0</v>
      </c>
      <c r="D268" s="42">
        <v>0.0</v>
      </c>
      <c r="E268" s="42">
        <v>0.0</v>
      </c>
      <c r="F268" s="42">
        <v>0.0</v>
      </c>
      <c r="G268" s="42">
        <v>0.0</v>
      </c>
      <c r="H268" s="42">
        <v>0.0</v>
      </c>
      <c r="I268" s="42">
        <v>0.0</v>
      </c>
      <c r="J268" s="42">
        <v>0.0</v>
      </c>
      <c r="K268" s="42">
        <v>0.0</v>
      </c>
      <c r="L268" s="42">
        <v>0.0</v>
      </c>
      <c r="M268" s="42">
        <v>0.0</v>
      </c>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row>
    <row r="269" ht="15.75" customHeight="1">
      <c r="A269" s="2"/>
      <c r="B269" s="36" t="s">
        <v>258</v>
      </c>
      <c r="C269" s="42">
        <f>-D88</f>
        <v>-640707.9267</v>
      </c>
      <c r="D269" s="42">
        <v>0.0</v>
      </c>
      <c r="E269" s="42">
        <v>0.0</v>
      </c>
      <c r="F269" s="42">
        <v>0.0</v>
      </c>
      <c r="G269" s="42">
        <v>0.0</v>
      </c>
      <c r="H269" s="42">
        <v>0.0</v>
      </c>
      <c r="I269" s="42">
        <v>0.0</v>
      </c>
      <c r="J269" s="42">
        <v>0.0</v>
      </c>
      <c r="K269" s="42">
        <v>0.0</v>
      </c>
      <c r="L269" s="42">
        <v>0.0</v>
      </c>
      <c r="M269" s="42">
        <v>0.0</v>
      </c>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row>
    <row r="270" ht="15.75" customHeight="1">
      <c r="A270" s="2"/>
      <c r="B270" s="36" t="s">
        <v>259</v>
      </c>
      <c r="C270" s="42">
        <v>0.0</v>
      </c>
      <c r="D270" s="42">
        <f t="shared" ref="D270:M270" si="138">-D229</f>
        <v>-457714.2347</v>
      </c>
      <c r="E270" s="42">
        <f t="shared" si="138"/>
        <v>-423575.3277</v>
      </c>
      <c r="F270" s="42">
        <f t="shared" si="138"/>
        <v>-389436.4207</v>
      </c>
      <c r="G270" s="42">
        <f t="shared" si="138"/>
        <v>-355297.5137</v>
      </c>
      <c r="H270" s="42">
        <f t="shared" si="138"/>
        <v>-321158.6067</v>
      </c>
      <c r="I270" s="42">
        <f t="shared" si="138"/>
        <v>-287019.6997</v>
      </c>
      <c r="J270" s="42">
        <f t="shared" si="138"/>
        <v>0</v>
      </c>
      <c r="K270" s="42">
        <f t="shared" si="138"/>
        <v>0</v>
      </c>
      <c r="L270" s="42">
        <f t="shared" si="138"/>
        <v>0</v>
      </c>
      <c r="M270" s="42">
        <f t="shared" si="138"/>
        <v>0</v>
      </c>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row>
    <row r="271" ht="15.75" customHeight="1">
      <c r="A271" s="2"/>
      <c r="B271" s="59" t="s">
        <v>260</v>
      </c>
      <c r="C271" s="40">
        <f t="shared" ref="C271:M271" si="139">C266+C267+C268+C269+C270</f>
        <v>-3169515.853</v>
      </c>
      <c r="D271" s="40">
        <f t="shared" si="139"/>
        <v>3518986.985</v>
      </c>
      <c r="E271" s="40">
        <f t="shared" si="139"/>
        <v>5541476.502</v>
      </c>
      <c r="F271" s="40">
        <f t="shared" si="139"/>
        <v>7563966.019</v>
      </c>
      <c r="G271" s="40">
        <f t="shared" si="139"/>
        <v>7598104.926</v>
      </c>
      <c r="H271" s="40">
        <f t="shared" si="139"/>
        <v>7632243.833</v>
      </c>
      <c r="I271" s="40">
        <f t="shared" si="139"/>
        <v>7666382.74</v>
      </c>
      <c r="J271" s="40">
        <f t="shared" si="139"/>
        <v>7953402.44</v>
      </c>
      <c r="K271" s="40">
        <f t="shared" si="139"/>
        <v>7953402.44</v>
      </c>
      <c r="L271" s="40">
        <f t="shared" si="139"/>
        <v>7953402.44</v>
      </c>
      <c r="M271" s="40">
        <f t="shared" si="139"/>
        <v>7953402.44</v>
      </c>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row>
    <row r="272" ht="15.75" customHeight="1">
      <c r="A272" s="2"/>
      <c r="B272" s="59" t="s">
        <v>261</v>
      </c>
      <c r="C272" s="60">
        <f>C271</f>
        <v>-3169515.853</v>
      </c>
      <c r="D272" s="60">
        <f t="shared" ref="D272:M272" si="140">C272+D271</f>
        <v>349471.1319</v>
      </c>
      <c r="E272" s="60">
        <f t="shared" si="140"/>
        <v>5890947.634</v>
      </c>
      <c r="F272" s="60">
        <f t="shared" si="140"/>
        <v>13454913.65</v>
      </c>
      <c r="G272" s="60">
        <f t="shared" si="140"/>
        <v>21053018.58</v>
      </c>
      <c r="H272" s="60">
        <f t="shared" si="140"/>
        <v>28685262.41</v>
      </c>
      <c r="I272" s="60">
        <f t="shared" si="140"/>
        <v>36351645.15</v>
      </c>
      <c r="J272" s="60">
        <f t="shared" si="140"/>
        <v>44305047.59</v>
      </c>
      <c r="K272" s="60">
        <f t="shared" si="140"/>
        <v>52258450.03</v>
      </c>
      <c r="L272" s="60">
        <f t="shared" si="140"/>
        <v>60211852.47</v>
      </c>
      <c r="M272" s="60">
        <f t="shared" si="140"/>
        <v>68165254.91</v>
      </c>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row>
    <row r="276" ht="15.0" customHeight="1">
      <c r="A276" s="2"/>
      <c r="B276" s="26" t="s">
        <v>263</v>
      </c>
      <c r="C276" s="4"/>
      <c r="D276" s="4"/>
      <c r="E276" s="4"/>
      <c r="F276" s="4"/>
      <c r="G276" s="4"/>
      <c r="H276" s="4"/>
      <c r="I276" s="4"/>
      <c r="J276" s="4"/>
      <c r="K276" s="4"/>
      <c r="L276" s="4"/>
      <c r="M276" s="4"/>
      <c r="N276" s="4"/>
      <c r="O276" s="5"/>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row>
    <row r="277" ht="15.75" customHeight="1">
      <c r="A277" s="2"/>
      <c r="B277" s="27" t="s">
        <v>149</v>
      </c>
      <c r="C277" s="27" t="s">
        <v>243</v>
      </c>
      <c r="D277" s="27" t="s">
        <v>192</v>
      </c>
      <c r="E277" s="27" t="s">
        <v>193</v>
      </c>
      <c r="F277" s="27" t="s">
        <v>194</v>
      </c>
      <c r="G277" s="27" t="s">
        <v>195</v>
      </c>
      <c r="H277" s="27" t="s">
        <v>196</v>
      </c>
      <c r="I277" s="27" t="s">
        <v>197</v>
      </c>
      <c r="J277" s="27" t="s">
        <v>198</v>
      </c>
      <c r="K277" s="27" t="s">
        <v>199</v>
      </c>
      <c r="L277" s="27" t="s">
        <v>200</v>
      </c>
      <c r="M277" s="27" t="s">
        <v>201</v>
      </c>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row>
    <row r="278" ht="15.75" customHeight="1">
      <c r="A278" s="2"/>
      <c r="B278" s="36" t="s">
        <v>206</v>
      </c>
      <c r="C278" s="42">
        <v>0.0</v>
      </c>
      <c r="D278" s="42">
        <f t="shared" ref="D278:M278" si="141">C167</f>
        <v>15445034.2</v>
      </c>
      <c r="E278" s="42">
        <f t="shared" si="141"/>
        <v>23167551.3</v>
      </c>
      <c r="F278" s="42">
        <f t="shared" si="141"/>
        <v>30890068.4</v>
      </c>
      <c r="G278" s="42">
        <f t="shared" si="141"/>
        <v>30890068.4</v>
      </c>
      <c r="H278" s="42">
        <f t="shared" si="141"/>
        <v>30890068.4</v>
      </c>
      <c r="I278" s="42">
        <f t="shared" si="141"/>
        <v>30890068.4</v>
      </c>
      <c r="J278" s="42">
        <f t="shared" si="141"/>
        <v>30890068.4</v>
      </c>
      <c r="K278" s="42">
        <f t="shared" si="141"/>
        <v>30890068.4</v>
      </c>
      <c r="L278" s="42">
        <f t="shared" si="141"/>
        <v>30890068.4</v>
      </c>
      <c r="M278" s="42">
        <f t="shared" si="141"/>
        <v>30890068.4</v>
      </c>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row>
    <row r="279" ht="15.75" customHeight="1">
      <c r="A279" s="2"/>
      <c r="B279" s="36" t="s">
        <v>256</v>
      </c>
      <c r="C279" s="42">
        <f>-E89</f>
        <v>-7131655.267</v>
      </c>
      <c r="D279" s="42">
        <v>0.0</v>
      </c>
      <c r="E279" s="42">
        <v>0.0</v>
      </c>
      <c r="F279" s="42">
        <v>0.0</v>
      </c>
      <c r="G279" s="42">
        <v>0.0</v>
      </c>
      <c r="H279" s="42">
        <v>0.0</v>
      </c>
      <c r="I279" s="42">
        <v>0.0</v>
      </c>
      <c r="J279" s="42">
        <v>0.0</v>
      </c>
      <c r="K279" s="42">
        <v>0.0</v>
      </c>
      <c r="L279" s="42">
        <v>0.0</v>
      </c>
      <c r="M279" s="42">
        <v>0.0</v>
      </c>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row>
    <row r="280" ht="15.75" customHeight="1">
      <c r="A280" s="2"/>
      <c r="B280" s="36" t="s">
        <v>257</v>
      </c>
      <c r="C280" s="42">
        <v>0.0</v>
      </c>
      <c r="D280" s="42">
        <v>0.0</v>
      </c>
      <c r="E280" s="42">
        <v>0.0</v>
      </c>
      <c r="F280" s="42">
        <v>0.0</v>
      </c>
      <c r="G280" s="42">
        <v>0.0</v>
      </c>
      <c r="H280" s="42">
        <v>0.0</v>
      </c>
      <c r="I280" s="42">
        <v>0.0</v>
      </c>
      <c r="J280" s="42">
        <v>0.0</v>
      </c>
      <c r="K280" s="42">
        <v>0.0</v>
      </c>
      <c r="L280" s="42">
        <v>0.0</v>
      </c>
      <c r="M280" s="42">
        <v>0.0</v>
      </c>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row>
    <row r="281" ht="15.75" customHeight="1">
      <c r="A281" s="2"/>
      <c r="B281" s="36" t="s">
        <v>258</v>
      </c>
      <c r="C281" s="42">
        <f>-E88</f>
        <v>-1574655.267</v>
      </c>
      <c r="D281" s="42">
        <v>0.0</v>
      </c>
      <c r="E281" s="42">
        <v>0.0</v>
      </c>
      <c r="F281" s="42">
        <v>0.0</v>
      </c>
      <c r="G281" s="42">
        <v>0.0</v>
      </c>
      <c r="H281" s="42">
        <v>0.0</v>
      </c>
      <c r="I281" s="42">
        <v>0.0</v>
      </c>
      <c r="J281" s="42">
        <v>0.0</v>
      </c>
      <c r="K281" s="42">
        <v>0.0</v>
      </c>
      <c r="L281" s="42">
        <v>0.0</v>
      </c>
      <c r="M281" s="42">
        <v>0.0</v>
      </c>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row>
    <row r="282" ht="15.75" customHeight="1">
      <c r="A282" s="2"/>
      <c r="B282" s="36" t="s">
        <v>259</v>
      </c>
      <c r="C282" s="42">
        <v>0.0</v>
      </c>
      <c r="D282" s="42">
        <f t="shared" ref="D282:M282" si="142">-D245</f>
        <v>-1273000.465</v>
      </c>
      <c r="E282" s="42">
        <f t="shared" si="142"/>
        <v>-1191877.886</v>
      </c>
      <c r="F282" s="42">
        <f t="shared" si="142"/>
        <v>-1110755.308</v>
      </c>
      <c r="G282" s="42">
        <f t="shared" si="142"/>
        <v>-1029632.729</v>
      </c>
      <c r="H282" s="42">
        <f t="shared" si="142"/>
        <v>-948510.1505</v>
      </c>
      <c r="I282" s="42">
        <f t="shared" si="142"/>
        <v>-867387.5718</v>
      </c>
      <c r="J282" s="42">
        <f t="shared" si="142"/>
        <v>-786264.9932</v>
      </c>
      <c r="K282" s="42">
        <f t="shared" si="142"/>
        <v>-705142.4145</v>
      </c>
      <c r="L282" s="42">
        <f t="shared" si="142"/>
        <v>0</v>
      </c>
      <c r="M282" s="42">
        <f t="shared" si="142"/>
        <v>0</v>
      </c>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row>
    <row r="283" ht="15.75" customHeight="1">
      <c r="A283" s="2"/>
      <c r="B283" s="59" t="s">
        <v>260</v>
      </c>
      <c r="C283" s="40">
        <f t="shared" ref="C283:M283" si="143">C278+C279+C280+C281+C282</f>
        <v>-8706310.533</v>
      </c>
      <c r="D283" s="40">
        <f t="shared" si="143"/>
        <v>14172033.73</v>
      </c>
      <c r="E283" s="40">
        <f t="shared" si="143"/>
        <v>21975673.41</v>
      </c>
      <c r="F283" s="40">
        <f t="shared" si="143"/>
        <v>29779313.09</v>
      </c>
      <c r="G283" s="40">
        <f t="shared" si="143"/>
        <v>29860435.67</v>
      </c>
      <c r="H283" s="40">
        <f t="shared" si="143"/>
        <v>29941558.25</v>
      </c>
      <c r="I283" s="40">
        <f t="shared" si="143"/>
        <v>30022680.83</v>
      </c>
      <c r="J283" s="40">
        <f t="shared" si="143"/>
        <v>30103803.41</v>
      </c>
      <c r="K283" s="40">
        <f t="shared" si="143"/>
        <v>30184925.99</v>
      </c>
      <c r="L283" s="40">
        <f t="shared" si="143"/>
        <v>30890068.4</v>
      </c>
      <c r="M283" s="40">
        <f t="shared" si="143"/>
        <v>30890068.4</v>
      </c>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row>
    <row r="284" ht="15.75" customHeight="1">
      <c r="A284" s="2"/>
      <c r="B284" s="59" t="s">
        <v>261</v>
      </c>
      <c r="C284" s="60">
        <f>C283</f>
        <v>-8706310.533</v>
      </c>
      <c r="D284" s="60">
        <f t="shared" ref="D284:M284" si="144">C284+D283</f>
        <v>5465723.202</v>
      </c>
      <c r="E284" s="60">
        <f t="shared" si="144"/>
        <v>27441396.62</v>
      </c>
      <c r="F284" s="60">
        <f t="shared" si="144"/>
        <v>57220709.71</v>
      </c>
      <c r="G284" s="60">
        <f t="shared" si="144"/>
        <v>87081145.38</v>
      </c>
      <c r="H284" s="60">
        <f t="shared" si="144"/>
        <v>117022703.6</v>
      </c>
      <c r="I284" s="60">
        <f t="shared" si="144"/>
        <v>147045384.5</v>
      </c>
      <c r="J284" s="60">
        <f t="shared" si="144"/>
        <v>177149187.9</v>
      </c>
      <c r="K284" s="60">
        <f t="shared" si="144"/>
        <v>207334113.8</v>
      </c>
      <c r="L284" s="60">
        <f t="shared" si="144"/>
        <v>238224182.2</v>
      </c>
      <c r="M284" s="60">
        <f t="shared" si="144"/>
        <v>269114250.6</v>
      </c>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row>
    <row r="288" ht="15.0" customHeight="1">
      <c r="A288" s="2"/>
      <c r="B288" s="3" t="s">
        <v>264</v>
      </c>
      <c r="C288" s="4"/>
      <c r="D288" s="4"/>
      <c r="E288" s="4"/>
      <c r="F288" s="4"/>
      <c r="G288" s="4"/>
      <c r="H288" s="5"/>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row>
    <row r="289" ht="15.0" customHeight="1">
      <c r="A289" s="2"/>
      <c r="B289" s="26" t="s">
        <v>265</v>
      </c>
      <c r="C289" s="4"/>
      <c r="D289" s="4"/>
      <c r="E289" s="4"/>
      <c r="F289" s="4"/>
      <c r="G289" s="4"/>
      <c r="H289" s="5"/>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row>
    <row r="290" ht="15.75" customHeight="1">
      <c r="A290" s="2"/>
      <c r="B290" s="27" t="s">
        <v>149</v>
      </c>
      <c r="C290" s="27" t="s">
        <v>243</v>
      </c>
      <c r="D290" s="27" t="s">
        <v>194</v>
      </c>
      <c r="E290" s="27" t="s">
        <v>196</v>
      </c>
      <c r="F290" s="27" t="s">
        <v>201</v>
      </c>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row>
    <row r="291" ht="15.75" customHeight="1">
      <c r="A291" s="2"/>
      <c r="B291" s="44" t="s">
        <v>266</v>
      </c>
      <c r="C291" s="62"/>
      <c r="D291" s="62"/>
      <c r="E291" s="62"/>
      <c r="F291" s="6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row>
    <row r="292" ht="15.75" customHeight="1">
      <c r="A292" s="2"/>
      <c r="B292" s="36" t="s">
        <v>267</v>
      </c>
      <c r="C292" s="42">
        <f>C85+C86</f>
        <v>459800</v>
      </c>
      <c r="D292" s="42">
        <f>C85+C86-(E185+F185+G185)</f>
        <v>339860</v>
      </c>
      <c r="E292" s="42">
        <f>C85+C86-(E185+F185+G185+H185+I185)</f>
        <v>259900</v>
      </c>
      <c r="F292" s="42">
        <f>C85+C86-(E185+F185+G185+H185+I185+J185+K185+L185+M185+N185)</f>
        <v>60000</v>
      </c>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row>
    <row r="293" ht="15.75" customHeight="1">
      <c r="A293" s="2"/>
      <c r="B293" s="36" t="s">
        <v>268</v>
      </c>
      <c r="C293" s="42">
        <f>C88</f>
        <v>221676.16</v>
      </c>
      <c r="D293" s="42">
        <f>C88</f>
        <v>221676.16</v>
      </c>
      <c r="E293" s="42">
        <f>C88</f>
        <v>221676.16</v>
      </c>
      <c r="F293" s="42">
        <f>C88</f>
        <v>221676.16</v>
      </c>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row>
    <row r="294" ht="15.75" customHeight="1">
      <c r="A294" s="2"/>
      <c r="B294" s="44" t="s">
        <v>269</v>
      </c>
      <c r="C294" s="40">
        <f t="shared" ref="C294:F294" si="145">C292+C293</f>
        <v>681476.16</v>
      </c>
      <c r="D294" s="40">
        <f t="shared" si="145"/>
        <v>561536.16</v>
      </c>
      <c r="E294" s="40">
        <f t="shared" si="145"/>
        <v>481576.16</v>
      </c>
      <c r="F294" s="40">
        <f t="shared" si="145"/>
        <v>281676.16</v>
      </c>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row>
    <row r="295" ht="15.75" customHeight="1">
      <c r="A295" s="2"/>
      <c r="B295" s="38"/>
      <c r="C295" s="38"/>
      <c r="D295" s="38"/>
      <c r="E295" s="38"/>
      <c r="F295" s="38"/>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row>
    <row r="296" ht="15.75" customHeight="1">
      <c r="A296" s="2"/>
      <c r="B296" s="44" t="s">
        <v>270</v>
      </c>
      <c r="C296" s="62"/>
      <c r="D296" s="62"/>
      <c r="E296" s="62"/>
      <c r="F296" s="6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row>
    <row r="297" ht="15.75" customHeight="1">
      <c r="A297" s="2"/>
      <c r="B297" s="36" t="s">
        <v>271</v>
      </c>
      <c r="C297" s="42">
        <f>C214</f>
        <v>363238.08</v>
      </c>
      <c r="D297" s="42">
        <f>F214</f>
        <v>90809.52</v>
      </c>
      <c r="E297" s="42">
        <f>H214</f>
        <v>0</v>
      </c>
      <c r="F297" s="42">
        <f>M214</f>
        <v>0</v>
      </c>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row>
    <row r="298" ht="15.75" customHeight="1">
      <c r="A298" s="2"/>
      <c r="B298" s="36" t="s">
        <v>272</v>
      </c>
      <c r="C298" s="42">
        <f t="shared" ref="C298:F298" si="146">C294-C297</f>
        <v>318238.08</v>
      </c>
      <c r="D298" s="42">
        <f t="shared" si="146"/>
        <v>470726.64</v>
      </c>
      <c r="E298" s="42">
        <f t="shared" si="146"/>
        <v>481576.16</v>
      </c>
      <c r="F298" s="42">
        <f t="shared" si="146"/>
        <v>281676.16</v>
      </c>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row>
    <row r="299" ht="15.75" customHeight="1">
      <c r="A299" s="2"/>
      <c r="B299" s="44" t="s">
        <v>273</v>
      </c>
      <c r="C299" s="40">
        <f t="shared" ref="C299:F299" si="147">C297+C298</f>
        <v>681476.16</v>
      </c>
      <c r="D299" s="40">
        <f t="shared" si="147"/>
        <v>561536.16</v>
      </c>
      <c r="E299" s="40">
        <f t="shared" si="147"/>
        <v>481576.16</v>
      </c>
      <c r="F299" s="40">
        <f t="shared" si="147"/>
        <v>281676.16</v>
      </c>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row>
    <row r="300" ht="15.75" customHeight="1">
      <c r="A300" s="2"/>
      <c r="B300" s="35" t="s">
        <v>274</v>
      </c>
      <c r="C300" s="63" t="str">
        <f t="shared" ref="C300:F300" si="148">IF(C294=C299,"OK","ERROR")</f>
        <v>OK</v>
      </c>
      <c r="D300" s="63" t="str">
        <f t="shared" si="148"/>
        <v>OK</v>
      </c>
      <c r="E300" s="63" t="str">
        <f t="shared" si="148"/>
        <v>OK</v>
      </c>
      <c r="F300" s="63" t="str">
        <f t="shared" si="148"/>
        <v>OK</v>
      </c>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row>
    <row r="303" ht="15.0" customHeight="1">
      <c r="A303" s="2"/>
      <c r="B303" s="26" t="s">
        <v>275</v>
      </c>
      <c r="C303" s="4"/>
      <c r="D303" s="4"/>
      <c r="E303" s="4"/>
      <c r="F303" s="4"/>
      <c r="G303" s="4"/>
      <c r="H303" s="5"/>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row>
    <row r="304" ht="15.75" customHeight="1">
      <c r="A304" s="2"/>
      <c r="B304" s="27" t="s">
        <v>149</v>
      </c>
      <c r="C304" s="27" t="s">
        <v>243</v>
      </c>
      <c r="D304" s="27" t="s">
        <v>194</v>
      </c>
      <c r="E304" s="27" t="s">
        <v>196</v>
      </c>
      <c r="F304" s="27" t="s">
        <v>201</v>
      </c>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row>
    <row r="305" ht="15.75" customHeight="1">
      <c r="A305" s="2"/>
      <c r="B305" s="44" t="s">
        <v>266</v>
      </c>
      <c r="C305" s="62"/>
      <c r="D305" s="62"/>
      <c r="E305" s="62"/>
      <c r="F305" s="6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row>
    <row r="306" ht="15.75" customHeight="1">
      <c r="A306" s="2"/>
      <c r="B306" s="36" t="s">
        <v>267</v>
      </c>
      <c r="C306" s="42">
        <f>D85+D86</f>
        <v>1823100</v>
      </c>
      <c r="D306" s="42">
        <f>D85+D86-(E192+F192+G192)</f>
        <v>1328670</v>
      </c>
      <c r="E306" s="42">
        <f>D85+D86-(E192+F192+G192+H192+I192)</f>
        <v>999050</v>
      </c>
      <c r="F306" s="42">
        <f>D85+D86-(E192+F192+G192+H192+I192+J192+K192+L192+M192+N192)</f>
        <v>175000</v>
      </c>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row>
    <row r="307" ht="15.75" customHeight="1">
      <c r="A307" s="2"/>
      <c r="B307" s="36" t="s">
        <v>268</v>
      </c>
      <c r="C307" s="42">
        <f>D88</f>
        <v>640707.9267</v>
      </c>
      <c r="D307" s="42">
        <f>D88</f>
        <v>640707.9267</v>
      </c>
      <c r="E307" s="42">
        <f>D88</f>
        <v>640707.9267</v>
      </c>
      <c r="F307" s="42">
        <f>D88</f>
        <v>640707.9267</v>
      </c>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row>
    <row r="308" ht="15.75" customHeight="1">
      <c r="A308" s="2"/>
      <c r="B308" s="44" t="s">
        <v>269</v>
      </c>
      <c r="C308" s="40">
        <f t="shared" ref="C308:F308" si="149">C306+C307</f>
        <v>2463807.927</v>
      </c>
      <c r="D308" s="40">
        <f t="shared" si="149"/>
        <v>1969377.927</v>
      </c>
      <c r="E308" s="40">
        <f t="shared" si="149"/>
        <v>1639757.927</v>
      </c>
      <c r="F308" s="40">
        <f t="shared" si="149"/>
        <v>815707.9267</v>
      </c>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row>
    <row r="309" ht="15.75" customHeight="1">
      <c r="A309" s="2"/>
      <c r="B309" s="38"/>
      <c r="C309" s="38"/>
      <c r="D309" s="38"/>
      <c r="E309" s="38"/>
      <c r="F309" s="38"/>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row>
    <row r="310" ht="15.75" customHeight="1">
      <c r="A310" s="2"/>
      <c r="B310" s="44" t="s">
        <v>270</v>
      </c>
      <c r="C310" s="62"/>
      <c r="D310" s="62"/>
      <c r="E310" s="62"/>
      <c r="F310" s="6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row>
    <row r="311" ht="15.75" customHeight="1">
      <c r="A311" s="2"/>
      <c r="B311" s="36" t="s">
        <v>271</v>
      </c>
      <c r="C311" s="42">
        <f>C230</f>
        <v>1517284.756</v>
      </c>
      <c r="D311" s="42">
        <f>F230</f>
        <v>758642.378</v>
      </c>
      <c r="E311" s="42">
        <f>H230</f>
        <v>252880.7927</v>
      </c>
      <c r="F311" s="42">
        <f>M230</f>
        <v>0</v>
      </c>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row>
    <row r="312" ht="15.75" customHeight="1">
      <c r="A312" s="2"/>
      <c r="B312" s="36" t="s">
        <v>272</v>
      </c>
      <c r="C312" s="42">
        <f t="shared" ref="C312:F312" si="150">C308-C311</f>
        <v>946523.1707</v>
      </c>
      <c r="D312" s="42">
        <f t="shared" si="150"/>
        <v>1210735.549</v>
      </c>
      <c r="E312" s="42">
        <f t="shared" si="150"/>
        <v>1386877.134</v>
      </c>
      <c r="F312" s="42">
        <f t="shared" si="150"/>
        <v>815707.9267</v>
      </c>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row>
    <row r="313" ht="15.75" customHeight="1">
      <c r="A313" s="2"/>
      <c r="B313" s="44" t="s">
        <v>273</v>
      </c>
      <c r="C313" s="40">
        <f t="shared" ref="C313:F313" si="151">C311+C312</f>
        <v>2463807.927</v>
      </c>
      <c r="D313" s="40">
        <f t="shared" si="151"/>
        <v>1969377.927</v>
      </c>
      <c r="E313" s="40">
        <f t="shared" si="151"/>
        <v>1639757.927</v>
      </c>
      <c r="F313" s="40">
        <f t="shared" si="151"/>
        <v>815707.9267</v>
      </c>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row>
    <row r="314" ht="15.75" customHeight="1">
      <c r="A314" s="2"/>
      <c r="B314" s="35" t="s">
        <v>274</v>
      </c>
      <c r="C314" s="63" t="str">
        <f t="shared" ref="C314:F314" si="152">IF(C308=C313,"OK","ERROR")</f>
        <v>OK</v>
      </c>
      <c r="D314" s="63" t="str">
        <f t="shared" si="152"/>
        <v>OK</v>
      </c>
      <c r="E314" s="63" t="str">
        <f t="shared" si="152"/>
        <v>OK</v>
      </c>
      <c r="F314" s="63" t="str">
        <f t="shared" si="152"/>
        <v>OK</v>
      </c>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row>
    <row r="317" ht="15.0" customHeight="1">
      <c r="A317" s="2"/>
      <c r="B317" s="26" t="s">
        <v>276</v>
      </c>
      <c r="C317" s="4"/>
      <c r="D317" s="4"/>
      <c r="E317" s="4"/>
      <c r="F317" s="4"/>
      <c r="G317" s="4"/>
      <c r="H317" s="5"/>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row>
    <row r="318" ht="15.75" customHeight="1">
      <c r="A318" s="2"/>
      <c r="B318" s="27" t="s">
        <v>149</v>
      </c>
      <c r="C318" s="27" t="s">
        <v>243</v>
      </c>
      <c r="D318" s="27" t="s">
        <v>194</v>
      </c>
      <c r="E318" s="27" t="s">
        <v>196</v>
      </c>
      <c r="F318" s="27" t="s">
        <v>201</v>
      </c>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row>
    <row r="319" ht="15.75" customHeight="1">
      <c r="A319" s="2"/>
      <c r="B319" s="44" t="s">
        <v>266</v>
      </c>
      <c r="C319" s="62"/>
      <c r="D319" s="62"/>
      <c r="E319" s="62"/>
      <c r="F319" s="6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row>
    <row r="320" ht="15.75" customHeight="1">
      <c r="A320" s="2"/>
      <c r="B320" s="36" t="s">
        <v>267</v>
      </c>
      <c r="C320" s="42">
        <f>E85+E86</f>
        <v>5462000</v>
      </c>
      <c r="D320" s="42">
        <f>E85+E86-(E199+F199+G199)</f>
        <v>3965900</v>
      </c>
      <c r="E320" s="42">
        <f>E85+E86-(E199+F199+G199+H199+I199)</f>
        <v>2968500</v>
      </c>
      <c r="F320" s="42">
        <f>E85+E86-(E199+F199+G199+H199+I199+J199+K199+L199+M199+N199)</f>
        <v>475000</v>
      </c>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row>
    <row r="321" ht="15.75" customHeight="1">
      <c r="A321" s="2"/>
      <c r="B321" s="36" t="s">
        <v>268</v>
      </c>
      <c r="C321" s="42">
        <f>E88</f>
        <v>1574655.267</v>
      </c>
      <c r="D321" s="42">
        <f>E88</f>
        <v>1574655.267</v>
      </c>
      <c r="E321" s="42">
        <f>E88</f>
        <v>1574655.267</v>
      </c>
      <c r="F321" s="42">
        <f>E88</f>
        <v>1574655.267</v>
      </c>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row>
    <row r="322" ht="15.75" customHeight="1">
      <c r="A322" s="2"/>
      <c r="B322" s="44" t="s">
        <v>269</v>
      </c>
      <c r="C322" s="40">
        <f t="shared" ref="C322:F322" si="153">C320+C321</f>
        <v>7036655.267</v>
      </c>
      <c r="D322" s="40">
        <f t="shared" si="153"/>
        <v>5540555.267</v>
      </c>
      <c r="E322" s="40">
        <f t="shared" si="153"/>
        <v>4543155.267</v>
      </c>
      <c r="F322" s="40">
        <f t="shared" si="153"/>
        <v>2049655.267</v>
      </c>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row>
    <row r="323" ht="15.75" customHeight="1">
      <c r="A323" s="2"/>
      <c r="B323" s="38"/>
      <c r="C323" s="38"/>
      <c r="D323" s="38"/>
      <c r="E323" s="38"/>
      <c r="F323" s="38"/>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row>
    <row r="324" ht="15.75" customHeight="1">
      <c r="A324" s="2"/>
      <c r="B324" s="44" t="s">
        <v>270</v>
      </c>
      <c r="C324" s="62"/>
      <c r="D324" s="62"/>
      <c r="E324" s="62"/>
      <c r="F324" s="6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row>
    <row r="325" ht="15.75" customHeight="1">
      <c r="A325" s="2"/>
      <c r="B325" s="36" t="s">
        <v>271</v>
      </c>
      <c r="C325" s="42">
        <f>C246</f>
        <v>4992158.687</v>
      </c>
      <c r="D325" s="42">
        <f>F246</f>
        <v>3120099.179</v>
      </c>
      <c r="E325" s="42">
        <f>H246</f>
        <v>1872059.508</v>
      </c>
      <c r="F325" s="42">
        <f>M246</f>
        <v>-0.000000000698491931</v>
      </c>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row>
    <row r="326" ht="15.75" customHeight="1">
      <c r="A326" s="2"/>
      <c r="B326" s="36" t="s">
        <v>272</v>
      </c>
      <c r="C326" s="42">
        <f t="shared" ref="C326:F326" si="154">C322-C325</f>
        <v>2044496.58</v>
      </c>
      <c r="D326" s="42">
        <f t="shared" si="154"/>
        <v>2420456.088</v>
      </c>
      <c r="E326" s="42">
        <f t="shared" si="154"/>
        <v>2671095.759</v>
      </c>
      <c r="F326" s="42">
        <f t="shared" si="154"/>
        <v>2049655.267</v>
      </c>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row>
    <row r="327" ht="15.75" customHeight="1">
      <c r="A327" s="2"/>
      <c r="B327" s="44" t="s">
        <v>273</v>
      </c>
      <c r="C327" s="40">
        <f t="shared" ref="C327:F327" si="155">C325+C326</f>
        <v>7036655.267</v>
      </c>
      <c r="D327" s="40">
        <f t="shared" si="155"/>
        <v>5540555.267</v>
      </c>
      <c r="E327" s="40">
        <f t="shared" si="155"/>
        <v>4543155.267</v>
      </c>
      <c r="F327" s="40">
        <f t="shared" si="155"/>
        <v>2049655.267</v>
      </c>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row>
    <row r="328" ht="15.75" customHeight="1">
      <c r="A328" s="2"/>
      <c r="B328" s="35" t="s">
        <v>274</v>
      </c>
      <c r="C328" s="63" t="str">
        <f t="shared" ref="C328:F328" si="156">IF(C322=C327,"OK","ERROR")</f>
        <v>OK</v>
      </c>
      <c r="D328" s="63" t="str">
        <f t="shared" si="156"/>
        <v>OK</v>
      </c>
      <c r="E328" s="63" t="str">
        <f t="shared" si="156"/>
        <v>OK</v>
      </c>
      <c r="F328" s="63" t="str">
        <f t="shared" si="156"/>
        <v>OK</v>
      </c>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row>
    <row r="331" ht="15.0" customHeight="1">
      <c r="A331" s="2"/>
      <c r="B331" s="3" t="s">
        <v>277</v>
      </c>
      <c r="C331" s="4"/>
      <c r="D331" s="4"/>
      <c r="E331" s="4"/>
      <c r="F331" s="4"/>
      <c r="G331" s="4"/>
      <c r="H331" s="5"/>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row>
    <row r="332" ht="15.75" customHeight="1">
      <c r="A332" s="2"/>
      <c r="B332" s="27" t="s">
        <v>278</v>
      </c>
      <c r="C332" s="27" t="s">
        <v>279</v>
      </c>
      <c r="D332" s="27" t="s">
        <v>280</v>
      </c>
      <c r="E332" s="27" t="s">
        <v>281</v>
      </c>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row>
    <row r="333" ht="15.75" customHeight="1">
      <c r="A333" s="2"/>
      <c r="B333" s="7" t="s">
        <v>282</v>
      </c>
      <c r="C333" s="64">
        <f>IRR(C259:M259)</f>
        <v>0.9992869345</v>
      </c>
      <c r="D333" s="64">
        <f>IRR(C271:M271)</f>
        <v>1.47371205</v>
      </c>
      <c r="E333" s="64">
        <f>IRR(C283:M283)</f>
        <v>2.022852332</v>
      </c>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row>
    <row r="334" ht="15.75" customHeight="1">
      <c r="A334" s="2"/>
      <c r="B334" s="7" t="s">
        <v>283</v>
      </c>
      <c r="C334" s="64">
        <f>IRR(C259:M259)</f>
        <v>0.9992869345</v>
      </c>
      <c r="D334" s="64">
        <f>IRR(C271:M271)</f>
        <v>1.47371205</v>
      </c>
      <c r="E334" s="64">
        <f>IRR(C283:M283)</f>
        <v>2.022852332</v>
      </c>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row>
    <row r="335" ht="15.75" customHeight="1">
      <c r="A335" s="2"/>
      <c r="B335" s="7" t="s">
        <v>284</v>
      </c>
      <c r="C335" s="60">
        <f t="array" ref="C335">C259+NPV($C$14,D259:M259)</f>
        <v>4348678.004</v>
      </c>
      <c r="D335" s="60">
        <f t="array" ref="D335">C271+NPV($C$14,D271:M271)</f>
        <v>24182706.7</v>
      </c>
      <c r="E335" s="60">
        <f t="array" ref="E335">C283+NPV($C$14,D283:M283)</f>
        <v>98482752.54</v>
      </c>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row>
    <row r="336" ht="15.75" customHeight="1">
      <c r="A336" s="2"/>
      <c r="B336" s="7" t="s">
        <v>285</v>
      </c>
      <c r="C336" s="65">
        <f>IF(AND(D260&gt;=0,C260&lt;0),(1-1)*12+IF(D259&lt;&gt;0,ABS(C260)/D259*12,0),0)+IF(AND(E260&gt;=0,D260&lt;0),(2-1)*12+IF(E259&lt;&gt;0,ABS(D260)/E259*12,0),0)+IF(AND(F260&gt;=0,E260&lt;0),(3-1)*12+IF(F259&lt;&gt;0,ABS(E260)/F259*12,0),0)+IF(AND(G260&gt;=0,F260&lt;0),(4-1)*12+IF(G259&lt;&gt;0,ABS(F260)/G259*12,0),0)+IF(AND(H260&gt;=0,G260&lt;0),(5-1)*12+IF(H259&lt;&gt;0,ABS(G260)/H259*12,0),0)+IF(AND(I260&gt;=0,H260&lt;0),(6-1)*12+IF(I259&lt;&gt;0,ABS(H260)/I259*12,0),0)+IF(AND(J260&gt;=0,I260&lt;0),(7-1)*12+IF(J259&lt;&gt;0,ABS(I260)/J259*12,0),0)+IF(AND(K260&gt;=0,J260&lt;0),(8-1)*12+IF(K259&lt;&gt;0,ABS(J260)/K259*12,0),0)+IF(AND(L260&gt;=0,K260&lt;0),(9-1)*12+IF(L259&lt;&gt;0,ABS(K260)/L259*12,0),0)+IF(AND(M260&gt;=0,L260&lt;0),(10-1)*12+IF(M259&lt;&gt;0,ABS(L260)/M259*12,0),0)</f>
        <v>15.56609801</v>
      </c>
      <c r="D336" s="65">
        <f>IF(AND(D272&gt;=0,C272&lt;0),(1-1)*12+IF(D271&lt;&gt;0,ABS(C272)/D271*12,0),0)+IF(AND(E272&gt;=0,D272&lt;0),(2-1)*12+IF(E271&lt;&gt;0,ABS(D272)/E271*12,0),0)+IF(AND(F272&gt;=0,E272&lt;0),(3-1)*12+IF(F271&lt;&gt;0,ABS(E272)/F271*12,0),0)+IF(AND(G272&gt;=0,F272&lt;0),(4-1)*12+IF(G271&lt;&gt;0,ABS(F272)/G271*12,0),0)+IF(AND(H272&gt;=0,G272&lt;0),(5-1)*12+IF(H271&lt;&gt;0,ABS(G272)/H271*12,0),0)+IF(AND(I272&gt;=0,H272&lt;0),(6-1)*12+IF(I271&lt;&gt;0,ABS(H272)/I271*12,0),0)+IF(AND(J272&gt;=0,I272&lt;0),(7-1)*12+IF(J271&lt;&gt;0,ABS(I272)/J271*12,0),0)+IF(AND(K272&gt;=0,J272&lt;0),(8-1)*12+IF(K271&lt;&gt;0,ABS(J272)/K271*12,0),0)+IF(AND(L272&gt;=0,K272&lt;0),(9-1)*12+IF(L271&lt;&gt;0,ABS(K272)/L271*12,0),0)+IF(AND(M272&gt;=0,L272&lt;0),(10-1)*12+IF(M271&lt;&gt;0,ABS(L272)/M271*12,0),0)</f>
        <v>10.80827818</v>
      </c>
      <c r="E336" s="65">
        <f>IF(AND(D284&gt;=0,C284&lt;0),(1-1)*12+IF(D283&lt;&gt;0,ABS(C284)/D283*12,0),0)+IF(AND(E284&gt;=0,D284&lt;0),(2-1)*12+IF(E283&lt;&gt;0,ABS(D284)/E283*12,0),0)+IF(AND(F284&gt;=0,E284&lt;0),(3-1)*12+IF(F283&lt;&gt;0,ABS(E284)/F283*12,0),0)+IF(AND(G284&gt;=0,F284&lt;0),(4-1)*12+IF(G283&lt;&gt;0,ABS(F284)/G283*12,0),0)+IF(AND(H284&gt;=0,G284&lt;0),(5-1)*12+IF(H283&lt;&gt;0,ABS(G284)/H283*12,0),0)+IF(AND(I284&gt;=0,H284&lt;0),(6-1)*12+IF(I283&lt;&gt;0,ABS(H284)/I283*12,0),0)+IF(AND(J284&gt;=0,I284&lt;0),(7-1)*12+IF(J283&lt;&gt;0,ABS(I284)/J283*12,0),0)+IF(AND(K284&gt;=0,J284&lt;0),(8-1)*12+IF(K283&lt;&gt;0,ABS(J284)/K283*12,0),0)+IF(AND(L284&gt;=0,K284&lt;0),(9-1)*12+IF(L283&lt;&gt;0,ABS(K284)/L283*12,0),0)+IF(AND(M284&gt;=0,L284&lt;0),(10-1)*12+IF(M283&lt;&gt;0,ABS(L284)/M283*12,0),0)</f>
        <v>7.371964275</v>
      </c>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row>
    <row r="337" ht="15.75" customHeight="1">
      <c r="A337" s="2"/>
      <c r="B337" s="7" t="s">
        <v>286</v>
      </c>
      <c r="C337" s="65">
        <f t="shared" ref="C337:E337" si="157">ROUND(C336*1.15,1)</f>
        <v>17.9</v>
      </c>
      <c r="D337" s="65">
        <f t="shared" si="157"/>
        <v>12.4</v>
      </c>
      <c r="E337" s="65">
        <f t="shared" si="157"/>
        <v>8.5</v>
      </c>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row>
    <row r="338" ht="15.75" customHeight="1">
      <c r="A338" s="2"/>
      <c r="B338" s="7" t="s">
        <v>287</v>
      </c>
      <c r="C338" s="66">
        <f>IF(C259&lt;&gt;0,SUM(D259:M259)/ABS(C259),0)</f>
        <v>14.70784122</v>
      </c>
      <c r="D338" s="66">
        <f>IF(C271&lt;&gt;0,SUM(D271:M271)/ABS(C271),0)</f>
        <v>22.50651963</v>
      </c>
      <c r="E338" s="66">
        <f>IF(C283&lt;&gt;0,SUM(D283:M283)/ABS(C283),0)</f>
        <v>31.91025178</v>
      </c>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row>
    <row r="339" ht="15.75" customHeight="1">
      <c r="A339" s="2"/>
      <c r="B339" s="7" t="s">
        <v>288</v>
      </c>
      <c r="C339" s="67">
        <f>MIN(D215:M215)</f>
        <v>5.508184668</v>
      </c>
      <c r="D339" s="67">
        <f>MIN(D231:M231)</f>
        <v>8.688174669</v>
      </c>
      <c r="E339" s="67">
        <f>MIN(D247:M247)</f>
        <v>12.1327797</v>
      </c>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row>
    <row r="340" ht="15.75" customHeight="1">
      <c r="A340" s="2"/>
      <c r="B340" s="7" t="s">
        <v>289</v>
      </c>
      <c r="C340" s="68">
        <f>IF(F118&lt;&gt;0,C104*D116/F118/$C$10,0)</f>
        <v>1649.18901</v>
      </c>
      <c r="D340" s="68">
        <f>IF(L118&lt;&gt;0,D104*J116/L118/$C$10,0)</f>
        <v>4643.342338</v>
      </c>
      <c r="E340" s="68">
        <f>IF(R118&lt;&gt;0,E104*P116/R118/$C$10,0)</f>
        <v>11710.95691</v>
      </c>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row>
    <row r="341" ht="15.75" customHeight="1">
      <c r="A341" s="2"/>
      <c r="B341" s="7" t="s">
        <v>290</v>
      </c>
      <c r="C341" s="64">
        <f>IF(C104&lt;&gt;0,(F118-C104)/C104,0)</f>
        <v>1.173340945</v>
      </c>
      <c r="D341" s="64">
        <f>IF(D104&lt;&gt;0,(L118-D104)/D104,0)</f>
        <v>2.068910057</v>
      </c>
      <c r="E341" s="64">
        <f>IF(E104&lt;&gt;0,(R118-E104)/E104,0)</f>
        <v>3.269505931</v>
      </c>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row>
    <row r="342" ht="15.75" customHeight="1">
      <c r="A342" s="2"/>
      <c r="B342" s="7" t="s">
        <v>291</v>
      </c>
      <c r="C342" s="60">
        <f>L129*$C$36</f>
        <v>7803051.45</v>
      </c>
      <c r="D342" s="60">
        <f>L148*$C$36</f>
        <v>39767012.2</v>
      </c>
      <c r="E342" s="60">
        <f>L167*$C$36</f>
        <v>154450342</v>
      </c>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row>
    <row r="346" ht="15.0" customHeight="1">
      <c r="A346" s="2"/>
      <c r="B346" s="3" t="s">
        <v>292</v>
      </c>
      <c r="C346" s="4"/>
      <c r="D346" s="4"/>
      <c r="E346" s="4"/>
      <c r="F346" s="4"/>
      <c r="G346" s="4"/>
      <c r="H346" s="4"/>
      <c r="I346" s="4"/>
      <c r="J346" s="4"/>
      <c r="K346" s="4"/>
      <c r="L346" s="4"/>
      <c r="M346" s="4"/>
      <c r="N346" s="4"/>
      <c r="O346" s="4"/>
      <c r="P346" s="4"/>
      <c r="Q346" s="4"/>
      <c r="R346" s="4"/>
      <c r="S346" s="4"/>
      <c r="T346" s="5"/>
      <c r="U346" s="2"/>
      <c r="V346" s="2"/>
      <c r="W346" s="2"/>
      <c r="X346" s="2"/>
      <c r="Y346" s="2"/>
      <c r="Z346" s="2"/>
      <c r="AA346" s="2"/>
      <c r="AB346" s="2"/>
      <c r="AC346" s="2"/>
      <c r="AD346" s="2"/>
      <c r="AE346" s="2"/>
      <c r="AF346" s="2"/>
      <c r="AG346" s="2"/>
      <c r="AH346" s="2"/>
      <c r="AI346" s="2"/>
      <c r="AJ346" s="2"/>
      <c r="AK346" s="2"/>
      <c r="AL346" s="2"/>
      <c r="AM346" s="2"/>
      <c r="AN346" s="2"/>
      <c r="AO346" s="2"/>
      <c r="AP346" s="2"/>
    </row>
    <row r="347" ht="15.75" customHeight="1">
      <c r="A347" s="2"/>
      <c r="B347" s="69" t="s">
        <v>293</v>
      </c>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row>
    <row r="348" ht="15.75" customHeight="1">
      <c r="A348" s="2"/>
      <c r="B348" s="27" t="s">
        <v>294</v>
      </c>
      <c r="C348" s="27" t="s">
        <v>279</v>
      </c>
      <c r="D348" s="27" t="s">
        <v>280</v>
      </c>
      <c r="E348" s="27" t="s">
        <v>281</v>
      </c>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row>
    <row r="349" ht="15.75" customHeight="1">
      <c r="A349" s="2"/>
      <c r="B349" s="36" t="s">
        <v>295</v>
      </c>
      <c r="C349" s="42">
        <f>F116*(1+-0.2)*(1-$C$11)-C104</f>
        <v>81873.07</v>
      </c>
      <c r="D349" s="42">
        <f>L116*(1+-0.2)*(1-$C$11)-D104</f>
        <v>466156.0367</v>
      </c>
      <c r="E349" s="42">
        <f>R116*(1+-0.2)*(1-$C$11)-E104</f>
        <v>1901872.367</v>
      </c>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row>
    <row r="350" ht="15.75" customHeight="1">
      <c r="A350" s="2"/>
      <c r="B350" s="36" t="s">
        <v>296</v>
      </c>
      <c r="C350" s="42">
        <f>F116*(1+-0.1)*(1-$C$11)-C104</f>
        <v>105961.9638</v>
      </c>
      <c r="D350" s="42">
        <f>L116*(1+-0.1)*(1-$C$11)-D104</f>
        <v>564469.7867</v>
      </c>
      <c r="E350" s="42">
        <f>R116*(1+-0.1)*(1-$C$11)-E104</f>
        <v>2238022.367</v>
      </c>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row>
    <row r="351" ht="15.75" customHeight="1">
      <c r="A351" s="2"/>
      <c r="B351" s="36" t="s">
        <v>297</v>
      </c>
      <c r="C351" s="42">
        <f>F116*(1+0)*(1-$C$11)-C104</f>
        <v>130050.8575</v>
      </c>
      <c r="D351" s="42">
        <f>L116*(1+0)*(1-$C$11)-D104</f>
        <v>662783.5367</v>
      </c>
      <c r="E351" s="42">
        <f>R116*(1+0)*(1-$C$11)-E104</f>
        <v>2574172.367</v>
      </c>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row>
    <row r="352" ht="15.75" customHeight="1">
      <c r="A352" s="2"/>
      <c r="B352" s="36" t="s">
        <v>298</v>
      </c>
      <c r="C352" s="42">
        <f>F116*(1+0.1)*(1-$C$11)-C104</f>
        <v>154139.7513</v>
      </c>
      <c r="D352" s="42">
        <f>L116*(1+0.1)*(1-$C$11)-D104</f>
        <v>761097.2867</v>
      </c>
      <c r="E352" s="42">
        <f>R116*(1+0.1)*(1-$C$11)-E104</f>
        <v>2910322.367</v>
      </c>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row>
    <row r="353" ht="15.75" customHeight="1">
      <c r="A353" s="2"/>
      <c r="B353" s="36" t="s">
        <v>299</v>
      </c>
      <c r="C353" s="42">
        <f>F116*(1+0.2)*(1-$C$11)-C104</f>
        <v>178228.645</v>
      </c>
      <c r="D353" s="42">
        <f>L116*(1+0.2)*(1-$C$11)-D104</f>
        <v>859411.0367</v>
      </c>
      <c r="E353" s="42">
        <f>R116*(1+0.2)*(1-$C$11)-E104</f>
        <v>3246472.367</v>
      </c>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row>
    <row r="356" ht="15.75" customHeight="1">
      <c r="A356" s="2"/>
      <c r="B356" s="69" t="s">
        <v>300</v>
      </c>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row>
    <row r="357" ht="15.75" customHeight="1">
      <c r="A357" s="2"/>
      <c r="B357" s="70" t="s">
        <v>301</v>
      </c>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row>
    <row r="358" ht="15.75" customHeight="1">
      <c r="A358" s="2"/>
      <c r="B358" s="27" t="s">
        <v>302</v>
      </c>
      <c r="C358" s="27" t="s">
        <v>303</v>
      </c>
      <c r="D358" s="27" t="s">
        <v>304</v>
      </c>
      <c r="E358" s="27" t="s">
        <v>305</v>
      </c>
      <c r="F358" s="27" t="s">
        <v>306</v>
      </c>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row>
    <row r="359" ht="15.75" customHeight="1">
      <c r="A359" s="2"/>
      <c r="B359" s="36" t="s">
        <v>295</v>
      </c>
      <c r="C359" s="42">
        <f>F116*(1+-0.2)*0.3*(1-$C$11)-C104</f>
        <v>-53024.735</v>
      </c>
      <c r="D359" s="42">
        <f>F116*(1+-0.2)*0.5*(1-$C$11)-C104</f>
        <v>-14482.505</v>
      </c>
      <c r="E359" s="42">
        <f>F116*(1+-0.2)*0.7*(1-$C$11)-C104</f>
        <v>24059.725</v>
      </c>
      <c r="F359" s="42">
        <f>F116*(1+-0.2)*0.9*(1-$C$11)-C104</f>
        <v>62601.955</v>
      </c>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row>
    <row r="360" ht="15.75" customHeight="1">
      <c r="A360" s="2"/>
      <c r="B360" s="36" t="s">
        <v>296</v>
      </c>
      <c r="C360" s="42">
        <f>F116*(1+-0.1)*0.3*(1-$C$11)-C104</f>
        <v>-45798.06688</v>
      </c>
      <c r="D360" s="42">
        <f>F116*(1+-0.1)*0.5*(1-$C$11)-C104</f>
        <v>-2438.058125</v>
      </c>
      <c r="E360" s="42">
        <f>F116*(1+-0.1)*0.7*(1-$C$11)-C104</f>
        <v>40921.95063</v>
      </c>
      <c r="F360" s="42">
        <f>F116*(1+-0.1)*0.9*(1-$C$11)-C104</f>
        <v>84281.95938</v>
      </c>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row>
    <row r="361" ht="15.75" customHeight="1">
      <c r="A361" s="2"/>
      <c r="B361" s="36" t="s">
        <v>297</v>
      </c>
      <c r="C361" s="42">
        <f>F116*(1+0)*0.3*(1-$C$11)-C104</f>
        <v>-38571.39875</v>
      </c>
      <c r="D361" s="42">
        <f>F116*(1+0)*0.5*(1-$C$11)-C104</f>
        <v>9606.38875</v>
      </c>
      <c r="E361" s="42">
        <f>F116*(1+0)*0.7*(1-$C$11)-C104</f>
        <v>57784.17625</v>
      </c>
      <c r="F361" s="42">
        <f>F116*(1+0)*0.9*(1-$C$11)-C104</f>
        <v>105961.9638</v>
      </c>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row>
    <row r="362" ht="15.75" customHeight="1">
      <c r="A362" s="2"/>
      <c r="B362" s="36" t="s">
        <v>298</v>
      </c>
      <c r="C362" s="42">
        <f>F116*(1+0.1)*0.3*(1-$C$11)-C104</f>
        <v>-31344.73063</v>
      </c>
      <c r="D362" s="42">
        <f>F116*(1+0.1)*0.5*(1-$C$11)-C104</f>
        <v>21650.83563</v>
      </c>
      <c r="E362" s="42">
        <f>F116*(1+0.1)*0.7*(1-$C$11)-C104</f>
        <v>74646.40188</v>
      </c>
      <c r="F362" s="42">
        <f>F116*(1+0.1)*0.9*(1-$C$11)-C104</f>
        <v>127641.9681</v>
      </c>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row>
    <row r="363" ht="15.75" customHeight="1">
      <c r="A363" s="2"/>
      <c r="B363" s="36" t="s">
        <v>299</v>
      </c>
      <c r="C363" s="42">
        <f>F116*(1+0.2)*0.3*(1-$C$11)-C104</f>
        <v>-24118.0625</v>
      </c>
      <c r="D363" s="42">
        <f>F116*(1+0.2)*0.5*(1-$C$11)-C104</f>
        <v>33695.2825</v>
      </c>
      <c r="E363" s="42">
        <f>F116*(1+0.2)*0.7*(1-$C$11)-C104</f>
        <v>91508.6275</v>
      </c>
      <c r="F363" s="42">
        <f>F116*(1+0.2)*0.9*(1-$C$11)-C104</f>
        <v>149321.9725</v>
      </c>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row>
    <row r="366" ht="15.75" customHeight="1">
      <c r="A366" s="2"/>
      <c r="B366" s="70" t="s">
        <v>307</v>
      </c>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row>
    <row r="367" ht="15.75" customHeight="1">
      <c r="A367" s="2"/>
      <c r="B367" s="27" t="s">
        <v>302</v>
      </c>
      <c r="C367" s="27" t="s">
        <v>303</v>
      </c>
      <c r="D367" s="27" t="s">
        <v>304</v>
      </c>
      <c r="E367" s="27" t="s">
        <v>305</v>
      </c>
      <c r="F367" s="27" t="s">
        <v>306</v>
      </c>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row>
    <row r="368" ht="15.75" customHeight="1">
      <c r="A368" s="2"/>
      <c r="B368" s="36" t="s">
        <v>295</v>
      </c>
      <c r="C368" s="42">
        <f>L116*(1+-0.2)*0.3*(1-$C$11)-D104</f>
        <v>-84400.96333</v>
      </c>
      <c r="D368" s="42">
        <f>L116*(1+-0.2)*0.5*(1-$C$11)-D104</f>
        <v>72901.03667</v>
      </c>
      <c r="E368" s="42">
        <f>L116*(1+-0.2)*0.7*(1-$C$11)-D104</f>
        <v>230203.0367</v>
      </c>
      <c r="F368" s="42">
        <f>L116*(1+-0.2)*0.9*(1-$C$11)-D104</f>
        <v>387505.0367</v>
      </c>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row>
    <row r="369" ht="15.75" customHeight="1">
      <c r="A369" s="2"/>
      <c r="B369" s="36" t="s">
        <v>296</v>
      </c>
      <c r="C369" s="42">
        <f>L116*(1+-0.1)*0.3*(1-$C$11)-D104</f>
        <v>-54906.83833</v>
      </c>
      <c r="D369" s="42">
        <f>L116*(1+-0.1)*0.5*(1-$C$11)-D104</f>
        <v>122057.9117</v>
      </c>
      <c r="E369" s="42">
        <f>L116*(1+-0.1)*0.7*(1-$C$11)-D104</f>
        <v>299022.6617</v>
      </c>
      <c r="F369" s="42">
        <f>L116*(1+-0.1)*0.9*(1-$C$11)-D104</f>
        <v>475987.4117</v>
      </c>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row>
    <row r="370" ht="15.75" customHeight="1">
      <c r="A370" s="2"/>
      <c r="B370" s="36" t="s">
        <v>297</v>
      </c>
      <c r="C370" s="42">
        <f>L116*(1+0)*0.3*(1-$C$11)-D104</f>
        <v>-25412.71333</v>
      </c>
      <c r="D370" s="42">
        <f>L116*(1+0)*0.5*(1-$C$11)-D104</f>
        <v>171214.7867</v>
      </c>
      <c r="E370" s="42">
        <f>L116*(1+0)*0.7*(1-$C$11)-D104</f>
        <v>367842.2867</v>
      </c>
      <c r="F370" s="42">
        <f>L116*(1+0)*0.9*(1-$C$11)-D104</f>
        <v>564469.7867</v>
      </c>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row>
    <row r="371" ht="15.75" customHeight="1">
      <c r="A371" s="2"/>
      <c r="B371" s="36" t="s">
        <v>298</v>
      </c>
      <c r="C371" s="42">
        <f>L116*(1+0.1)*0.3*(1-$C$11)-D104</f>
        <v>4081.411667</v>
      </c>
      <c r="D371" s="42">
        <f>L116*(1+0.1)*0.5*(1-$C$11)-D104</f>
        <v>220371.6617</v>
      </c>
      <c r="E371" s="42">
        <f>L116*(1+0.1)*0.7*(1-$C$11)-D104</f>
        <v>436661.9117</v>
      </c>
      <c r="F371" s="42">
        <f>L116*(1+0.1)*0.9*(1-$C$11)-D104</f>
        <v>652952.1617</v>
      </c>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row>
    <row r="372" ht="15.75" customHeight="1">
      <c r="A372" s="2"/>
      <c r="B372" s="36" t="s">
        <v>299</v>
      </c>
      <c r="C372" s="42">
        <f>L116*(1+0.2)*0.3*(1-$C$11)-D104</f>
        <v>33575.53667</v>
      </c>
      <c r="D372" s="42">
        <f>L116*(1+0.2)*0.5*(1-$C$11)-D104</f>
        <v>269528.5367</v>
      </c>
      <c r="E372" s="42">
        <f>L116*(1+0.2)*0.7*(1-$C$11)-D104</f>
        <v>505481.5367</v>
      </c>
      <c r="F372" s="42">
        <f>L116*(1+0.2)*0.9*(1-$C$11)-D104</f>
        <v>741434.5367</v>
      </c>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row>
    <row r="375" ht="15.75" customHeight="1">
      <c r="A375" s="2"/>
      <c r="B375" s="70" t="s">
        <v>308</v>
      </c>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row>
    <row r="376" ht="15.75" customHeight="1">
      <c r="A376" s="2"/>
      <c r="B376" s="27" t="s">
        <v>302</v>
      </c>
      <c r="C376" s="27" t="s">
        <v>303</v>
      </c>
      <c r="D376" s="27" t="s">
        <v>304</v>
      </c>
      <c r="E376" s="27" t="s">
        <v>305</v>
      </c>
      <c r="F376" s="27" t="s">
        <v>306</v>
      </c>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row>
    <row r="377" ht="15.75" customHeight="1">
      <c r="A377" s="2"/>
      <c r="B377" s="36" t="s">
        <v>295</v>
      </c>
      <c r="C377" s="42">
        <f>R116*(1+-0.2)*0.3*(1-$C$11)-E104</f>
        <v>19432.36667</v>
      </c>
      <c r="D377" s="42">
        <f>R116*(1+-0.2)*0.5*(1-$C$11)-E104</f>
        <v>557272.3667</v>
      </c>
      <c r="E377" s="42">
        <f>R116*(1+-0.2)*0.7*(1-$C$11)-E104</f>
        <v>1095112.367</v>
      </c>
      <c r="F377" s="42">
        <f>R116*(1+-0.2)*0.9*(1-$C$11)-E104</f>
        <v>1632952.367</v>
      </c>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row>
    <row r="378" ht="15.75" customHeight="1">
      <c r="A378" s="2"/>
      <c r="B378" s="36" t="s">
        <v>296</v>
      </c>
      <c r="C378" s="42">
        <f>R116*(1+-0.1)*0.3*(1-$C$11)-E104</f>
        <v>120277.3667</v>
      </c>
      <c r="D378" s="42">
        <f>R116*(1+-0.1)*0.5*(1-$C$11)-E104</f>
        <v>725347.3667</v>
      </c>
      <c r="E378" s="42">
        <f>R116*(1+-0.1)*0.7*(1-$C$11)-E104</f>
        <v>1330417.367</v>
      </c>
      <c r="F378" s="42">
        <f>R116*(1+-0.1)*0.9*(1-$C$11)-E104</f>
        <v>1935487.367</v>
      </c>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row>
    <row r="379" ht="15.75" customHeight="1">
      <c r="A379" s="2"/>
      <c r="B379" s="36" t="s">
        <v>297</v>
      </c>
      <c r="C379" s="42">
        <f>R116*(1+0)*0.3*(1-$C$11)-E104</f>
        <v>221122.3667</v>
      </c>
      <c r="D379" s="42">
        <f>R116*(1+0)*0.5*(1-$C$11)-E104</f>
        <v>893422.3667</v>
      </c>
      <c r="E379" s="42">
        <f>R116*(1+0)*0.7*(1-$C$11)-E104</f>
        <v>1565722.367</v>
      </c>
      <c r="F379" s="42">
        <f>R116*(1+0)*0.9*(1-$C$11)-E104</f>
        <v>2238022.367</v>
      </c>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row>
    <row r="380" ht="15.75" customHeight="1">
      <c r="A380" s="2"/>
      <c r="B380" s="36" t="s">
        <v>298</v>
      </c>
      <c r="C380" s="42">
        <f>R116*(1+0.1)*0.3*(1-$C$11)-E104</f>
        <v>321967.3667</v>
      </c>
      <c r="D380" s="42">
        <f>R116*(1+0.1)*0.5*(1-$C$11)-E104</f>
        <v>1061497.367</v>
      </c>
      <c r="E380" s="42">
        <f>R116*(1+0.1)*0.7*(1-$C$11)-E104</f>
        <v>1801027.367</v>
      </c>
      <c r="F380" s="42">
        <f>R116*(1+0.1)*0.9*(1-$C$11)-E104</f>
        <v>2540557.367</v>
      </c>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row>
    <row r="381" ht="15.75" customHeight="1">
      <c r="A381" s="2"/>
      <c r="B381" s="36" t="s">
        <v>299</v>
      </c>
      <c r="C381" s="42">
        <f>R116*(1+0.2)*0.3*(1-$C$11)-E104</f>
        <v>422812.3667</v>
      </c>
      <c r="D381" s="42">
        <f>R116*(1+0.2)*0.5*(1-$C$11)-E104</f>
        <v>1229572.367</v>
      </c>
      <c r="E381" s="42">
        <f>R116*(1+0.2)*0.7*(1-$C$11)-E104</f>
        <v>2036332.367</v>
      </c>
      <c r="F381" s="42">
        <f>R116*(1+0.2)*0.9*(1-$C$11)-E104</f>
        <v>2843092.367</v>
      </c>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row>
    <row r="384" ht="15.75" customHeight="1">
      <c r="A384" s="2"/>
      <c r="B384" s="69" t="s">
        <v>309</v>
      </c>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row>
    <row r="385" ht="15.75" customHeight="1">
      <c r="A385" s="2"/>
      <c r="B385" s="70" t="s">
        <v>279</v>
      </c>
      <c r="C385" s="71" t="s">
        <v>303</v>
      </c>
      <c r="D385" s="71" t="s">
        <v>304</v>
      </c>
      <c r="E385" s="71" t="s">
        <v>305</v>
      </c>
      <c r="F385" s="71" t="s">
        <v>306</v>
      </c>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row>
    <row r="386" ht="15.75" customHeight="1">
      <c r="A386" s="2"/>
      <c r="B386" s="55" t="s">
        <v>310</v>
      </c>
      <c r="C386" s="56">
        <f>F118*0.3</f>
        <v>72266.68125</v>
      </c>
      <c r="D386" s="56">
        <f>F118*0.5</f>
        <v>120444.4688</v>
      </c>
      <c r="E386" s="56">
        <f>F118*0.7</f>
        <v>168622.2563</v>
      </c>
      <c r="F386" s="56">
        <f>F118*0.9</f>
        <v>216800.0438</v>
      </c>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row>
    <row r="387" ht="15.75" customHeight="1">
      <c r="A387" s="2"/>
      <c r="B387" s="55" t="s">
        <v>311</v>
      </c>
      <c r="C387" s="56">
        <f>F118*0.3-C104</f>
        <v>-38571.39875</v>
      </c>
      <c r="D387" s="56">
        <f>F118*0.5-C104</f>
        <v>9606.38875</v>
      </c>
      <c r="E387" s="56">
        <f>F118*0.7-C104</f>
        <v>57784.17625</v>
      </c>
      <c r="F387" s="56">
        <f>F118*0.9-C104</f>
        <v>105961.9638</v>
      </c>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row>
    <row r="388" ht="15.75" customHeight="1">
      <c r="A388" s="2"/>
      <c r="B388" s="55" t="s">
        <v>312</v>
      </c>
      <c r="C388" s="72">
        <f>IF(C387&gt;0,C89/C387,999)</f>
        <v>999</v>
      </c>
      <c r="D388" s="72">
        <f>IF(D387&gt;0,C89/D387,999)</f>
        <v>75.62427244</v>
      </c>
      <c r="E388" s="72">
        <f>IF(E387&gt;0,C89/E387,999)</f>
        <v>12.57223356</v>
      </c>
      <c r="F388" s="72">
        <f>IF(F387&gt;0,C89/F387,999)</f>
        <v>6.856008838</v>
      </c>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row>
    <row r="390" ht="15.75" customHeight="1">
      <c r="A390" s="2"/>
      <c r="B390" s="70" t="s">
        <v>280</v>
      </c>
      <c r="C390" s="71" t="s">
        <v>303</v>
      </c>
      <c r="D390" s="71" t="s">
        <v>304</v>
      </c>
      <c r="E390" s="71" t="s">
        <v>305</v>
      </c>
      <c r="F390" s="71" t="s">
        <v>306</v>
      </c>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row>
    <row r="391" ht="15.75" customHeight="1">
      <c r="A391" s="2"/>
      <c r="B391" s="55" t="s">
        <v>310</v>
      </c>
      <c r="C391" s="56">
        <f>L118*0.3</f>
        <v>294941.25</v>
      </c>
      <c r="D391" s="56">
        <f>L118*0.5</f>
        <v>491568.75</v>
      </c>
      <c r="E391" s="56">
        <f>L118*0.7</f>
        <v>688196.25</v>
      </c>
      <c r="F391" s="56">
        <f>L118*0.9</f>
        <v>884823.75</v>
      </c>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row>
    <row r="392" ht="15.75" customHeight="1">
      <c r="A392" s="2"/>
      <c r="B392" s="55" t="s">
        <v>311</v>
      </c>
      <c r="C392" s="56">
        <f>L118*0.3-D104</f>
        <v>-25412.71333</v>
      </c>
      <c r="D392" s="56">
        <f>L118*0.5-D104</f>
        <v>171214.7867</v>
      </c>
      <c r="E392" s="56">
        <f>L118*0.7-D104</f>
        <v>367842.2867</v>
      </c>
      <c r="F392" s="56">
        <f>L118*0.9-D104</f>
        <v>564469.7867</v>
      </c>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row>
    <row r="393" ht="15.75" customHeight="1">
      <c r="A393" s="2"/>
      <c r="B393" s="55" t="s">
        <v>312</v>
      </c>
      <c r="C393" s="72">
        <f>IF(C392&gt;0,D89/C392,999)</f>
        <v>999</v>
      </c>
      <c r="D393" s="72">
        <f>IF(D392&gt;0,D89/D392,999)</f>
        <v>14.76979866</v>
      </c>
      <c r="E393" s="72">
        <f>IF(E392&gt;0,D89/E392,999)</f>
        <v>6.874706955</v>
      </c>
      <c r="F393" s="72">
        <f>IF(F392&gt;0,D89/F392,999)</f>
        <v>4.479970384</v>
      </c>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row>
    <row r="395" ht="15.75" customHeight="1">
      <c r="A395" s="2"/>
      <c r="B395" s="70" t="s">
        <v>281</v>
      </c>
      <c r="C395" s="71" t="s">
        <v>303</v>
      </c>
      <c r="D395" s="71" t="s">
        <v>304</v>
      </c>
      <c r="E395" s="71" t="s">
        <v>305</v>
      </c>
      <c r="F395" s="71" t="s">
        <v>306</v>
      </c>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row>
    <row r="396" ht="15.75" customHeight="1">
      <c r="A396" s="2"/>
      <c r="B396" s="55" t="s">
        <v>310</v>
      </c>
      <c r="C396" s="56">
        <f>R118*0.3</f>
        <v>1008450</v>
      </c>
      <c r="D396" s="56">
        <f>R118*0.5</f>
        <v>1680750</v>
      </c>
      <c r="E396" s="56">
        <f>R118*0.7</f>
        <v>2353050</v>
      </c>
      <c r="F396" s="56">
        <f>R118*0.9</f>
        <v>3025350</v>
      </c>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row>
    <row r="397" ht="15.75" customHeight="1">
      <c r="A397" s="2"/>
      <c r="B397" s="55" t="s">
        <v>311</v>
      </c>
      <c r="C397" s="56">
        <f>R118*0.3-E104</f>
        <v>221122.3667</v>
      </c>
      <c r="D397" s="56">
        <f>R118*0.5-E104</f>
        <v>893422.3667</v>
      </c>
      <c r="E397" s="56">
        <f>R118*0.7-E104</f>
        <v>1565722.367</v>
      </c>
      <c r="F397" s="56">
        <f>R118*0.9-E104</f>
        <v>2238022.367</v>
      </c>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row>
    <row r="398" ht="15.75" customHeight="1">
      <c r="A398" s="2"/>
      <c r="B398" s="55" t="s">
        <v>312</v>
      </c>
      <c r="C398" s="72">
        <f>IF(C397&gt;0,E89/C397,999)</f>
        <v>32.25207551</v>
      </c>
      <c r="D398" s="72">
        <f>IF(D397&gt;0,E89/D397,999)</f>
        <v>7.982400635</v>
      </c>
      <c r="E398" s="72">
        <f>IF(E397&gt;0,E89/E397,999)</f>
        <v>4.554865804</v>
      </c>
      <c r="F398" s="72">
        <f>IF(F397&gt;0,E89/F397,999)</f>
        <v>3.186588022</v>
      </c>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row>
    <row r="401" ht="15.75" customHeight="1">
      <c r="A401" s="2"/>
      <c r="B401" s="52" t="s">
        <v>313</v>
      </c>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row>
    <row r="402" ht="15.75" customHeight="1">
      <c r="A402" s="2"/>
      <c r="B402" s="1" t="s">
        <v>314</v>
      </c>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row>
    <row r="403" ht="15.75" customHeight="1">
      <c r="A403" s="2"/>
      <c r="B403" s="1" t="s">
        <v>315</v>
      </c>
      <c r="C403" s="1" t="s">
        <v>316</v>
      </c>
      <c r="D403" s="1" t="s">
        <v>317</v>
      </c>
      <c r="E403" s="1" t="s">
        <v>318</v>
      </c>
      <c r="F403" s="1" t="s">
        <v>319</v>
      </c>
      <c r="G403" s="1" t="s">
        <v>320</v>
      </c>
      <c r="H403" s="1" t="s">
        <v>321</v>
      </c>
      <c r="I403" s="1" t="s">
        <v>322</v>
      </c>
      <c r="J403" s="1" t="s">
        <v>323</v>
      </c>
      <c r="K403" s="1" t="s">
        <v>324</v>
      </c>
      <c r="L403" s="1" t="s">
        <v>325</v>
      </c>
      <c r="M403" s="1" t="s">
        <v>326</v>
      </c>
      <c r="N403" s="1" t="s">
        <v>327</v>
      </c>
      <c r="O403" s="1" t="s">
        <v>328</v>
      </c>
      <c r="P403" s="1" t="s">
        <v>329</v>
      </c>
      <c r="Q403" s="1" t="s">
        <v>330</v>
      </c>
      <c r="R403" s="1" t="s">
        <v>331</v>
      </c>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row>
    <row r="404" ht="15.75" customHeight="1">
      <c r="A404" s="2"/>
      <c r="B404" s="1" t="s">
        <v>332</v>
      </c>
      <c r="C404" s="1" t="s">
        <v>333</v>
      </c>
      <c r="D404" s="1">
        <v>3.0</v>
      </c>
      <c r="E404" s="1">
        <v>0.0</v>
      </c>
      <c r="F404" s="1">
        <v>0.0</v>
      </c>
      <c r="G404" s="1">
        <v>3.0</v>
      </c>
      <c r="H404" s="73">
        <v>0.05</v>
      </c>
      <c r="I404" s="1">
        <v>15.0</v>
      </c>
      <c r="J404" s="1">
        <v>2179428.0</v>
      </c>
      <c r="K404" s="1">
        <v>2179428.0</v>
      </c>
      <c r="L404" s="1">
        <v>332514.0</v>
      </c>
      <c r="M404" s="1">
        <v>763167.0</v>
      </c>
      <c r="N404" s="1">
        <v>430653.0</v>
      </c>
      <c r="O404" s="1" t="s">
        <v>334</v>
      </c>
      <c r="P404" s="74">
        <v>46236.0</v>
      </c>
      <c r="Q404" s="1">
        <v>6.0</v>
      </c>
      <c r="R404" s="1" t="s">
        <v>335</v>
      </c>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row>
    <row r="405" ht="15.75" customHeight="1">
      <c r="A405" s="2"/>
      <c r="B405" s="1" t="s">
        <v>336</v>
      </c>
      <c r="C405" s="1" t="s">
        <v>337</v>
      </c>
      <c r="D405" s="1">
        <v>5.0</v>
      </c>
      <c r="E405" s="1">
        <v>1.0</v>
      </c>
      <c r="F405" s="1">
        <v>0.0</v>
      </c>
      <c r="G405" s="1">
        <v>6.0</v>
      </c>
      <c r="H405" s="73">
        <v>0.1</v>
      </c>
      <c r="I405" s="1">
        <v>40.0</v>
      </c>
      <c r="J405" s="1">
        <v>6161188.0</v>
      </c>
      <c r="K405" s="1">
        <v>3981760.0</v>
      </c>
      <c r="L405" s="1">
        <v>874544.0</v>
      </c>
      <c r="M405" s="1">
        <v>2295583.0</v>
      </c>
      <c r="N405" s="1">
        <v>1421039.0</v>
      </c>
      <c r="O405" s="1" t="s">
        <v>338</v>
      </c>
      <c r="P405" s="1" t="s">
        <v>339</v>
      </c>
      <c r="Q405" s="1">
        <v>5.0</v>
      </c>
      <c r="R405" s="1" t="s">
        <v>340</v>
      </c>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row>
    <row r="406" ht="15.75" customHeight="1">
      <c r="A406" s="2"/>
      <c r="B406" s="1" t="s">
        <v>341</v>
      </c>
      <c r="C406" s="1" t="s">
        <v>342</v>
      </c>
      <c r="D406" s="1">
        <v>5.0</v>
      </c>
      <c r="E406" s="1">
        <v>3.0</v>
      </c>
      <c r="F406" s="1">
        <v>0.0</v>
      </c>
      <c r="G406" s="1">
        <v>8.0</v>
      </c>
      <c r="H406" s="73">
        <v>0.2</v>
      </c>
      <c r="I406" s="1">
        <v>70.0</v>
      </c>
      <c r="J406" s="1">
        <v>1.1224804E7</v>
      </c>
      <c r="K406" s="1">
        <v>5063616.0</v>
      </c>
      <c r="L406" s="1">
        <v>1515676.0</v>
      </c>
      <c r="M406" s="1">
        <v>3342759.0</v>
      </c>
      <c r="N406" s="1">
        <v>1827083.0</v>
      </c>
      <c r="O406" s="1" t="s">
        <v>343</v>
      </c>
      <c r="P406" s="1" t="s">
        <v>344</v>
      </c>
      <c r="Q406" s="1">
        <v>4.0</v>
      </c>
      <c r="R406" s="1" t="s">
        <v>340</v>
      </c>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row>
    <row r="407" ht="15.75" customHeight="1">
      <c r="A407" s="2"/>
      <c r="B407" s="1" t="s">
        <v>345</v>
      </c>
      <c r="C407" s="1" t="s">
        <v>346</v>
      </c>
      <c r="D407" s="1">
        <v>8.0</v>
      </c>
      <c r="E407" s="1">
        <v>4.0</v>
      </c>
      <c r="F407" s="1">
        <v>1.0</v>
      </c>
      <c r="G407" s="1">
        <v>13.0</v>
      </c>
      <c r="H407" s="73">
        <v>0.35</v>
      </c>
      <c r="I407" s="1">
        <v>130.0</v>
      </c>
      <c r="J407" s="1">
        <v>2.2006167E7</v>
      </c>
      <c r="K407" s="1">
        <v>1.0781363E7</v>
      </c>
      <c r="L407" s="1">
        <v>3398300.0</v>
      </c>
      <c r="M407" s="1">
        <v>9319810.0</v>
      </c>
      <c r="N407" s="1">
        <v>5921510.0</v>
      </c>
      <c r="O407" s="1" t="s">
        <v>347</v>
      </c>
      <c r="P407" s="1" t="s">
        <v>348</v>
      </c>
      <c r="Q407" s="1">
        <v>3.0</v>
      </c>
      <c r="R407" s="1" t="s">
        <v>349</v>
      </c>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row>
    <row r="408" ht="15.75" customHeight="1">
      <c r="A408" s="2"/>
      <c r="B408" s="1" t="s">
        <v>350</v>
      </c>
      <c r="C408" s="1" t="s">
        <v>351</v>
      </c>
      <c r="D408" s="1">
        <v>10.0</v>
      </c>
      <c r="E408" s="1">
        <v>6.0</v>
      </c>
      <c r="F408" s="1">
        <v>2.0</v>
      </c>
      <c r="G408" s="1">
        <v>18.0</v>
      </c>
      <c r="H408" s="73">
        <v>0.5</v>
      </c>
      <c r="I408" s="1">
        <v>230.0</v>
      </c>
      <c r="J408" s="1">
        <v>3.552097E7</v>
      </c>
      <c r="K408" s="1">
        <v>1.3514803E7</v>
      </c>
      <c r="L408" s="1">
        <v>5662096.0</v>
      </c>
      <c r="M408" s="1">
        <v>1.6011364E7</v>
      </c>
      <c r="N408" s="1">
        <v>1.0349268E7</v>
      </c>
      <c r="O408" s="1" t="s">
        <v>352</v>
      </c>
      <c r="P408" s="1" t="s">
        <v>353</v>
      </c>
      <c r="Q408" s="1">
        <v>2.0</v>
      </c>
      <c r="R408" s="1" t="s">
        <v>354</v>
      </c>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row>
    <row r="409" ht="15.75" customHeight="1">
      <c r="A409" s="2"/>
      <c r="B409" s="1" t="s">
        <v>355</v>
      </c>
      <c r="C409" s="1" t="s">
        <v>356</v>
      </c>
      <c r="D409" s="1">
        <v>20.0</v>
      </c>
      <c r="E409" s="1">
        <v>8.0</v>
      </c>
      <c r="F409" s="1">
        <v>3.0</v>
      </c>
      <c r="G409" s="1">
        <v>31.0</v>
      </c>
      <c r="H409" s="73">
        <v>1.0</v>
      </c>
      <c r="I409" s="1">
        <v>370.0</v>
      </c>
      <c r="J409" s="1">
        <v>7.1853393E7</v>
      </c>
      <c r="K409" s="1">
        <v>3.6332423E7</v>
      </c>
      <c r="L409" s="1">
        <v>1.2178252E7</v>
      </c>
      <c r="M409" s="1">
        <v>3.7095634E7</v>
      </c>
      <c r="N409" s="1">
        <v>2.4917382E7</v>
      </c>
      <c r="O409" s="1" t="s">
        <v>357</v>
      </c>
      <c r="P409" s="1" t="s">
        <v>358</v>
      </c>
      <c r="Q409" s="1">
        <v>1.0</v>
      </c>
      <c r="R409" s="1" t="s">
        <v>359</v>
      </c>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row>
    <row r="412" ht="15.75" customHeight="1">
      <c r="A412" s="2"/>
      <c r="B412" s="1" t="s">
        <v>360</v>
      </c>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row>
    <row r="413" ht="15.75" customHeight="1">
      <c r="A413" s="2"/>
      <c r="B413" s="1" t="s">
        <v>315</v>
      </c>
      <c r="C413" s="1" t="s">
        <v>361</v>
      </c>
      <c r="D413" s="1" t="s">
        <v>362</v>
      </c>
      <c r="E413" s="1" t="s">
        <v>363</v>
      </c>
      <c r="F413" s="1" t="s">
        <v>364</v>
      </c>
      <c r="G413" s="1" t="s">
        <v>365</v>
      </c>
      <c r="H413" s="1" t="s">
        <v>324</v>
      </c>
      <c r="I413" s="1" t="s">
        <v>366</v>
      </c>
      <c r="J413" s="1" t="s">
        <v>367</v>
      </c>
      <c r="K413" s="1" t="s">
        <v>181</v>
      </c>
      <c r="L413" s="1" t="s">
        <v>368</v>
      </c>
      <c r="M413" s="1" t="s">
        <v>369</v>
      </c>
      <c r="N413" s="1" t="s">
        <v>370</v>
      </c>
      <c r="O413" s="1" t="s">
        <v>371</v>
      </c>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row>
    <row r="414" ht="15.75" customHeight="1">
      <c r="A414" s="2"/>
      <c r="B414" s="1" t="s">
        <v>332</v>
      </c>
      <c r="C414" s="1">
        <v>1.0</v>
      </c>
      <c r="D414" s="1">
        <v>1.0</v>
      </c>
      <c r="E414" s="1">
        <v>12.0</v>
      </c>
      <c r="F414" s="1">
        <v>1.0</v>
      </c>
      <c r="G414" s="1">
        <v>12.0</v>
      </c>
      <c r="H414" s="1">
        <v>2179428.0</v>
      </c>
      <c r="I414" s="1">
        <v>2179428.0</v>
      </c>
      <c r="J414" s="1">
        <v>332514.0</v>
      </c>
      <c r="K414" s="1">
        <v>763167.0</v>
      </c>
      <c r="L414" s="1">
        <v>430653.0</v>
      </c>
      <c r="M414" s="1">
        <v>-2179428.0</v>
      </c>
      <c r="N414" s="1">
        <v>5.0</v>
      </c>
      <c r="O414" s="1" t="s">
        <v>372</v>
      </c>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row>
    <row r="415" ht="15.75" customHeight="1">
      <c r="A415" s="2"/>
      <c r="B415" s="1" t="s">
        <v>336</v>
      </c>
      <c r="C415" s="1">
        <v>2.0</v>
      </c>
      <c r="D415" s="1">
        <v>1.0</v>
      </c>
      <c r="E415" s="1">
        <v>12.0</v>
      </c>
      <c r="F415" s="1">
        <v>2.0</v>
      </c>
      <c r="G415" s="1">
        <v>12.0</v>
      </c>
      <c r="H415" s="1">
        <v>3981760.0</v>
      </c>
      <c r="I415" s="1">
        <v>6161188.0</v>
      </c>
      <c r="J415" s="1">
        <v>874544.0</v>
      </c>
      <c r="K415" s="1">
        <v>2295583.0</v>
      </c>
      <c r="L415" s="1">
        <v>1421039.0</v>
      </c>
      <c r="M415" s="1">
        <v>-3981760.0</v>
      </c>
      <c r="N415" s="1">
        <v>3.0</v>
      </c>
      <c r="O415" s="1" t="s">
        <v>373</v>
      </c>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row>
    <row r="416" ht="15.75" customHeight="1">
      <c r="A416" s="2"/>
      <c r="B416" s="1" t="s">
        <v>341</v>
      </c>
      <c r="C416" s="1">
        <v>3.0</v>
      </c>
      <c r="D416" s="1">
        <v>1.0</v>
      </c>
      <c r="E416" s="1">
        <v>18.0</v>
      </c>
      <c r="F416" s="1">
        <v>4.0</v>
      </c>
      <c r="G416" s="1">
        <v>6.0</v>
      </c>
      <c r="H416" s="1">
        <v>5063616.0</v>
      </c>
      <c r="I416" s="1">
        <v>1.1224804E7</v>
      </c>
      <c r="J416" s="1">
        <v>1515676.0</v>
      </c>
      <c r="K416" s="1">
        <v>3342759.0</v>
      </c>
      <c r="L416" s="1">
        <v>1827083.0</v>
      </c>
      <c r="M416" s="1">
        <v>-5063616.0</v>
      </c>
      <c r="N416" s="1">
        <v>3.0</v>
      </c>
      <c r="O416" s="1" t="s">
        <v>374</v>
      </c>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row>
    <row r="417" ht="15.75" customHeight="1">
      <c r="A417" s="2"/>
      <c r="B417" s="1" t="s">
        <v>345</v>
      </c>
      <c r="C417" s="1">
        <v>4.0</v>
      </c>
      <c r="D417" s="1">
        <v>7.0</v>
      </c>
      <c r="E417" s="1">
        <v>18.0</v>
      </c>
      <c r="F417" s="1">
        <v>6.0</v>
      </c>
      <c r="G417" s="1">
        <v>0.0</v>
      </c>
      <c r="H417" s="1">
        <v>1.0781363E7</v>
      </c>
      <c r="I417" s="1">
        <v>2.2006167E7</v>
      </c>
      <c r="J417" s="1">
        <v>3398300.0</v>
      </c>
      <c r="K417" s="1">
        <v>9319810.0</v>
      </c>
      <c r="L417" s="1">
        <v>5921510.0</v>
      </c>
      <c r="M417" s="1">
        <v>-1.0781363E7</v>
      </c>
      <c r="N417" s="1">
        <v>2.0</v>
      </c>
      <c r="O417" s="1" t="s">
        <v>375</v>
      </c>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row>
    <row r="418" ht="15.75" customHeight="1">
      <c r="A418" s="2"/>
      <c r="B418" s="1" t="s">
        <v>350</v>
      </c>
      <c r="C418" s="1">
        <v>6.0</v>
      </c>
      <c r="D418" s="1">
        <v>1.0</v>
      </c>
      <c r="E418" s="1">
        <v>24.0</v>
      </c>
      <c r="F418" s="1">
        <v>8.0</v>
      </c>
      <c r="G418" s="1">
        <v>0.0</v>
      </c>
      <c r="H418" s="1">
        <v>1.3514803E7</v>
      </c>
      <c r="I418" s="1">
        <v>3.552097E7</v>
      </c>
      <c r="J418" s="1">
        <v>5662096.0</v>
      </c>
      <c r="K418" s="1">
        <v>1.6011364E7</v>
      </c>
      <c r="L418" s="1">
        <v>1.0349268E7</v>
      </c>
      <c r="M418" s="1">
        <v>-1.3514803E7</v>
      </c>
      <c r="N418" s="1">
        <v>1.0</v>
      </c>
      <c r="O418" s="1" t="s">
        <v>376</v>
      </c>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row>
    <row r="419" ht="15.75" customHeight="1">
      <c r="A419" s="2"/>
      <c r="B419" s="1" t="s">
        <v>355</v>
      </c>
      <c r="C419" s="1">
        <v>8.0</v>
      </c>
      <c r="D419" s="1">
        <v>1.0</v>
      </c>
      <c r="E419" s="1">
        <v>36.0</v>
      </c>
      <c r="F419" s="1">
        <v>11.0</v>
      </c>
      <c r="G419" s="1">
        <v>0.0</v>
      </c>
      <c r="H419" s="1">
        <v>3.6332423E7</v>
      </c>
      <c r="I419" s="1">
        <v>7.1853393E7</v>
      </c>
      <c r="J419" s="1">
        <v>1.2178252E7</v>
      </c>
      <c r="K419" s="1">
        <v>3.7095634E7</v>
      </c>
      <c r="L419" s="1">
        <v>2.4917382E7</v>
      </c>
      <c r="M419" s="1">
        <v>-3.6332423E7</v>
      </c>
      <c r="N419" s="1">
        <v>1.0</v>
      </c>
      <c r="O419" s="1" t="s">
        <v>377</v>
      </c>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row>
    <row r="423" ht="15.75" customHeight="1">
      <c r="A423" s="2"/>
      <c r="B423" s="1" t="s">
        <v>378</v>
      </c>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row>
    <row r="425" ht="15.75" customHeight="1">
      <c r="A425" s="2"/>
      <c r="B425" s="1" t="s">
        <v>379</v>
      </c>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row>
    <row r="426" ht="15.75" customHeight="1">
      <c r="A426" s="2"/>
      <c r="B426" s="1" t="s">
        <v>380</v>
      </c>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row>
    <row r="427" ht="15.75" customHeight="1">
      <c r="A427" s="2"/>
      <c r="B427" s="1" t="s">
        <v>381</v>
      </c>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row>
    <row r="428" ht="15.75" customHeight="1">
      <c r="A428" s="2"/>
      <c r="B428" s="1" t="s">
        <v>382</v>
      </c>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row>
    <row r="429" ht="15.75" customHeight="1">
      <c r="A429" s="2"/>
      <c r="B429" s="1" t="s">
        <v>383</v>
      </c>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row>
    <row r="430" ht="15.75" customHeight="1">
      <c r="A430" s="2"/>
      <c r="B430" s="1" t="s">
        <v>384</v>
      </c>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row>
    <row r="431" ht="15.75" customHeight="1">
      <c r="A431" s="2"/>
      <c r="B431" s="1" t="s">
        <v>385</v>
      </c>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row>
    <row r="433" ht="15.75" customHeight="1">
      <c r="A433" s="2"/>
      <c r="B433" s="1" t="s">
        <v>386</v>
      </c>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row>
    <row r="437" ht="15.75" customHeight="1">
      <c r="A437" s="2"/>
      <c r="B437" s="1" t="s">
        <v>387</v>
      </c>
      <c r="C437" s="1" t="s">
        <v>351</v>
      </c>
      <c r="D437" s="1" t="s">
        <v>356</v>
      </c>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row>
    <row r="438" ht="15.75" customHeight="1">
      <c r="A438" s="2"/>
      <c r="B438" s="1" t="s">
        <v>388</v>
      </c>
      <c r="C438" s="1">
        <v>18.0</v>
      </c>
      <c r="D438" s="1">
        <v>31.0</v>
      </c>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row>
    <row r="439" ht="15.75" customHeight="1">
      <c r="A439" s="2"/>
      <c r="B439" s="1" t="s">
        <v>389</v>
      </c>
      <c r="C439" s="1" t="s">
        <v>390</v>
      </c>
      <c r="D439" s="1" t="s">
        <v>391</v>
      </c>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row>
    <row r="440" ht="15.75" customHeight="1">
      <c r="A440" s="2"/>
      <c r="B440" s="1" t="s">
        <v>392</v>
      </c>
      <c r="C440" s="1" t="s">
        <v>393</v>
      </c>
      <c r="D440" s="1" t="s">
        <v>394</v>
      </c>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row>
    <row r="441" ht="15.75" customHeight="1">
      <c r="A441" s="2"/>
      <c r="B441" s="1" t="s">
        <v>367</v>
      </c>
      <c r="C441" s="1" t="s">
        <v>395</v>
      </c>
      <c r="D441" s="1" t="s">
        <v>396</v>
      </c>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row>
    <row r="442" ht="15.75" customHeight="1">
      <c r="A442" s="2"/>
      <c r="B442" s="1" t="s">
        <v>397</v>
      </c>
      <c r="C442" s="1" t="s">
        <v>398</v>
      </c>
      <c r="D442" s="1" t="s">
        <v>399</v>
      </c>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row>
    <row r="443" ht="15.75" customHeight="1">
      <c r="A443" s="2"/>
      <c r="B443" s="1" t="s">
        <v>368</v>
      </c>
      <c r="C443" s="1" t="s">
        <v>400</v>
      </c>
      <c r="D443" s="1" t="s">
        <v>401</v>
      </c>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row>
    <row r="444" ht="15.75" customHeight="1">
      <c r="A444" s="2"/>
      <c r="B444" s="1" t="s">
        <v>328</v>
      </c>
      <c r="C444" s="1" t="s">
        <v>352</v>
      </c>
      <c r="D444" s="1" t="s">
        <v>357</v>
      </c>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row>
    <row r="445" ht="15.75" customHeight="1">
      <c r="A445" s="2"/>
      <c r="B445" s="1" t="s">
        <v>402</v>
      </c>
      <c r="C445" s="1" t="s">
        <v>353</v>
      </c>
      <c r="D445" s="1" t="s">
        <v>358</v>
      </c>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row>
    <row r="446" ht="15.75" customHeight="1">
      <c r="A446" s="2"/>
      <c r="B446" s="1" t="s">
        <v>403</v>
      </c>
      <c r="C446" s="1" t="s">
        <v>404</v>
      </c>
      <c r="D446" s="1" t="s">
        <v>405</v>
      </c>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row>
    <row r="447" ht="15.75" customHeight="1">
      <c r="A447" s="2"/>
      <c r="B447" s="1" t="s">
        <v>406</v>
      </c>
      <c r="C447" s="1" t="s">
        <v>407</v>
      </c>
      <c r="D447" s="1" t="s">
        <v>408</v>
      </c>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row>
    <row r="448" ht="15.75" customHeight="1">
      <c r="A448" s="2"/>
      <c r="B448" s="1" t="s">
        <v>409</v>
      </c>
      <c r="C448" s="1" t="s">
        <v>410</v>
      </c>
      <c r="D448" s="1" t="s">
        <v>411</v>
      </c>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row>
    <row r="449" ht="15.75" customHeight="1">
      <c r="A449" s="2"/>
      <c r="B449" s="1" t="s">
        <v>412</v>
      </c>
      <c r="C449" s="1" t="s">
        <v>413</v>
      </c>
      <c r="D449" s="1" t="s">
        <v>414</v>
      </c>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row>
    <row r="450" ht="15.75" customHeight="1">
      <c r="A450" s="2"/>
      <c r="B450" s="1" t="s">
        <v>415</v>
      </c>
      <c r="C450" s="1" t="s">
        <v>416</v>
      </c>
      <c r="D450" s="1" t="s">
        <v>417</v>
      </c>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row>
    <row r="454" ht="15.75" customHeight="1">
      <c r="A454" s="2"/>
      <c r="B454" s="1" t="s">
        <v>418</v>
      </c>
      <c r="C454" s="1" t="s">
        <v>419</v>
      </c>
      <c r="D454" s="1" t="s">
        <v>420</v>
      </c>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row>
  </sheetData>
  <mergeCells count="36">
    <mergeCell ref="B2:F2"/>
    <mergeCell ref="B54:E54"/>
    <mergeCell ref="B55:E55"/>
    <mergeCell ref="B68:AP68"/>
    <mergeCell ref="B69:N69"/>
    <mergeCell ref="P69:AB69"/>
    <mergeCell ref="AD69:AP69"/>
    <mergeCell ref="B122:AI122"/>
    <mergeCell ref="B123:M123"/>
    <mergeCell ref="B83:H83"/>
    <mergeCell ref="B93:H93"/>
    <mergeCell ref="B106:N106"/>
    <mergeCell ref="B107:F107"/>
    <mergeCell ref="H107:L107"/>
    <mergeCell ref="N107:R107"/>
    <mergeCell ref="B119:R119"/>
    <mergeCell ref="B142:M142"/>
    <mergeCell ref="B161:M161"/>
    <mergeCell ref="B180:N180"/>
    <mergeCell ref="B181:N181"/>
    <mergeCell ref="B188:N188"/>
    <mergeCell ref="B195:N195"/>
    <mergeCell ref="B202:O202"/>
    <mergeCell ref="B288:H288"/>
    <mergeCell ref="B289:H289"/>
    <mergeCell ref="B303:H303"/>
    <mergeCell ref="B317:H317"/>
    <mergeCell ref="B331:H331"/>
    <mergeCell ref="B346:T346"/>
    <mergeCell ref="B203:O203"/>
    <mergeCell ref="B219:O219"/>
    <mergeCell ref="B235:O235"/>
    <mergeCell ref="B251:O251"/>
    <mergeCell ref="B252:O252"/>
    <mergeCell ref="B264:O264"/>
    <mergeCell ref="B276:O276"/>
  </mergeCells>
  <conditionalFormatting sqref="C359:F363">
    <cfRule type="cellIs" dxfId="0" priority="1" operator="lessThan">
      <formula>0</formula>
    </cfRule>
  </conditionalFormatting>
  <conditionalFormatting sqref="C359:F363">
    <cfRule type="expression" dxfId="1" priority="2">
      <formula>AND(C359&gt;0,C359&lt;D213/12)</formula>
    </cfRule>
  </conditionalFormatting>
  <conditionalFormatting sqref="C359:F363">
    <cfRule type="expression" dxfId="2" priority="3">
      <formula>C359&gt;=D213/12</formula>
    </cfRule>
  </conditionalFormatting>
  <conditionalFormatting sqref="C368:F372">
    <cfRule type="cellIs" dxfId="0" priority="4" operator="lessThan">
      <formula>0</formula>
    </cfRule>
  </conditionalFormatting>
  <conditionalFormatting sqref="C368:F372">
    <cfRule type="expression" dxfId="1" priority="5">
      <formula>AND(C368&gt;0,C368&lt;D229/12)</formula>
    </cfRule>
  </conditionalFormatting>
  <conditionalFormatting sqref="C368:F372">
    <cfRule type="expression" dxfId="2" priority="6">
      <formula>C368&gt;=D229/12</formula>
    </cfRule>
  </conditionalFormatting>
  <conditionalFormatting sqref="C377:F381">
    <cfRule type="cellIs" dxfId="0" priority="7" operator="lessThan">
      <formula>0</formula>
    </cfRule>
  </conditionalFormatting>
  <conditionalFormatting sqref="C377:F381">
    <cfRule type="expression" dxfId="1" priority="8">
      <formula>AND(C377&gt;0,C377&lt;D245/12)</formula>
    </cfRule>
  </conditionalFormatting>
  <conditionalFormatting sqref="C377:F381">
    <cfRule type="expression" dxfId="2" priority="9">
      <formula>C377&gt;=D245/12</formula>
    </cfRule>
  </conditionalFormatting>
  <printOptions/>
  <pageMargins bottom="1.0" footer="0.0" header="0.0" left="0.75" right="0.75" top="1.0"/>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4.43"/>
    <col customWidth="1" min="2" max="2" width="38.0"/>
    <col customWidth="1" min="3" max="6" width="18.0"/>
    <col customWidth="1" min="7" max="26" width="8.71"/>
  </cols>
  <sheetData>
    <row r="1">
      <c r="A1" s="2"/>
      <c r="B1" s="2"/>
      <c r="C1" s="2"/>
      <c r="D1" s="2"/>
      <c r="E1" s="2"/>
      <c r="F1" s="2"/>
    </row>
    <row r="2" ht="18.0" customHeight="1">
      <c r="A2" s="2"/>
      <c r="B2" s="75" t="s">
        <v>421</v>
      </c>
      <c r="C2" s="4"/>
      <c r="D2" s="4"/>
      <c r="E2" s="5"/>
      <c r="F2" s="2"/>
    </row>
    <row r="3">
      <c r="A3" s="2"/>
      <c r="B3" s="52" t="s">
        <v>422</v>
      </c>
      <c r="F3" s="2"/>
    </row>
    <row r="4">
      <c r="A4" s="2"/>
      <c r="B4" s="2"/>
      <c r="C4" s="2"/>
      <c r="D4" s="2"/>
      <c r="E4" s="2"/>
      <c r="F4" s="2"/>
    </row>
    <row r="5">
      <c r="A5" s="2"/>
      <c r="B5" s="76"/>
      <c r="C5" s="77" t="s">
        <v>279</v>
      </c>
      <c r="D5" s="77" t="s">
        <v>280</v>
      </c>
      <c r="E5" s="77" t="s">
        <v>281</v>
      </c>
      <c r="F5" s="2"/>
    </row>
    <row r="6">
      <c r="A6" s="2"/>
      <c r="B6" s="78" t="s">
        <v>423</v>
      </c>
      <c r="C6" s="76"/>
      <c r="D6" s="76"/>
      <c r="E6" s="76"/>
      <c r="F6" s="2"/>
    </row>
    <row r="7">
      <c r="A7" s="2"/>
      <c r="B7" s="55" t="s">
        <v>424</v>
      </c>
      <c r="C7" s="56">
        <f>'Modelo CFO'!C89</f>
        <v>726476.16</v>
      </c>
      <c r="D7" s="56">
        <f>'Modelo CFO'!D89</f>
        <v>2528807.927</v>
      </c>
      <c r="E7" s="56">
        <f>'Modelo CFO'!E89</f>
        <v>7131655.267</v>
      </c>
      <c r="F7" s="2"/>
    </row>
    <row r="8">
      <c r="A8" s="2"/>
      <c r="B8" s="55" t="s">
        <v>155</v>
      </c>
      <c r="C8" s="56">
        <f>'Modelo CFO'!C87</f>
        <v>45000</v>
      </c>
      <c r="D8" s="56">
        <f>'Modelo CFO'!D87</f>
        <v>65000</v>
      </c>
      <c r="E8" s="56">
        <f>'Modelo CFO'!E87</f>
        <v>95000</v>
      </c>
      <c r="F8" s="2"/>
    </row>
    <row r="9">
      <c r="A9" s="2"/>
      <c r="B9" s="55" t="s">
        <v>425</v>
      </c>
      <c r="C9" s="56">
        <f>'Modelo CFO'!C88</f>
        <v>221676.16</v>
      </c>
      <c r="D9" s="56">
        <f>'Modelo CFO'!D88</f>
        <v>640707.9267</v>
      </c>
      <c r="E9" s="56">
        <f>'Modelo CFO'!E88</f>
        <v>1574655.267</v>
      </c>
      <c r="F9" s="2"/>
    </row>
    <row r="10">
      <c r="A10" s="2"/>
      <c r="B10" s="70" t="s">
        <v>426</v>
      </c>
      <c r="C10" s="79">
        <f>'Modelo CFO'!C89</f>
        <v>726476.16</v>
      </c>
      <c r="D10" s="79">
        <f>'Modelo CFO'!D89</f>
        <v>2528807.927</v>
      </c>
      <c r="E10" s="79">
        <f>'Modelo CFO'!E89</f>
        <v>7131655.267</v>
      </c>
      <c r="F10" s="2"/>
    </row>
    <row r="11">
      <c r="A11" s="2"/>
      <c r="B11" s="55" t="s">
        <v>427</v>
      </c>
      <c r="C11" s="80" t="s">
        <v>62</v>
      </c>
      <c r="D11" s="80" t="s">
        <v>64</v>
      </c>
      <c r="E11" s="80" t="s">
        <v>66</v>
      </c>
      <c r="F11" s="2"/>
    </row>
    <row r="12">
      <c r="A12" s="2"/>
      <c r="B12" s="69" t="s">
        <v>428</v>
      </c>
      <c r="C12" s="81">
        <f>'Modelo CFO'!C89*(1-'Modelo CFO'!$C$43)</f>
        <v>363238.08</v>
      </c>
      <c r="D12" s="81">
        <f>'Modelo CFO'!D89*(1-'Modelo CFO'!$C$44)</f>
        <v>1011523.171</v>
      </c>
      <c r="E12" s="81">
        <f>'Modelo CFO'!E89*(1-'Modelo CFO'!$C$45)</f>
        <v>2139496.58</v>
      </c>
      <c r="F12" s="2"/>
    </row>
    <row r="13">
      <c r="A13" s="2"/>
      <c r="B13" s="2"/>
      <c r="C13" s="2"/>
      <c r="D13" s="2"/>
      <c r="E13" s="2"/>
      <c r="F13" s="2"/>
    </row>
    <row r="14">
      <c r="A14" s="2"/>
      <c r="B14" s="82" t="s">
        <v>429</v>
      </c>
      <c r="C14" s="83"/>
      <c r="D14" s="83"/>
      <c r="E14" s="83"/>
      <c r="F14" s="2"/>
    </row>
    <row r="15">
      <c r="A15" s="2"/>
      <c r="B15" s="55" t="s">
        <v>430</v>
      </c>
      <c r="C15" s="56">
        <f>'Modelo CFO'!F118*'Modelo CFO'!$C$26</f>
        <v>120444.4688</v>
      </c>
      <c r="D15" s="56">
        <f>'Modelo CFO'!L118*'Modelo CFO'!$C$26</f>
        <v>491568.75</v>
      </c>
      <c r="E15" s="56">
        <f>'Modelo CFO'!R118*'Modelo CFO'!$C$26</f>
        <v>1680750</v>
      </c>
      <c r="F15" s="2"/>
    </row>
    <row r="16">
      <c r="A16" s="2"/>
      <c r="B16" s="55" t="s">
        <v>431</v>
      </c>
      <c r="C16" s="56">
        <f>'Modelo CFO'!F118</f>
        <v>240888.9375</v>
      </c>
      <c r="D16" s="56">
        <f>'Modelo CFO'!L118</f>
        <v>983137.5</v>
      </c>
      <c r="E16" s="56">
        <f>'Modelo CFO'!R118</f>
        <v>3361500</v>
      </c>
      <c r="F16" s="2"/>
    </row>
    <row r="17">
      <c r="A17" s="2"/>
      <c r="B17" s="55" t="s">
        <v>432</v>
      </c>
      <c r="C17" s="56">
        <f>'Modelo CFO'!E129</f>
        <v>1560610.29</v>
      </c>
      <c r="D17" s="56">
        <f>'Modelo CFO'!E148</f>
        <v>7953402.44</v>
      </c>
      <c r="E17" s="56">
        <f>'Modelo CFO'!E167</f>
        <v>30890068.4</v>
      </c>
      <c r="F17" s="2"/>
    </row>
    <row r="18">
      <c r="A18" s="2"/>
      <c r="B18" s="55" t="s">
        <v>433</v>
      </c>
      <c r="C18" s="84">
        <f>'Modelo CFO'!E130</f>
        <v>0.539878912</v>
      </c>
      <c r="D18" s="84">
        <f>'Modelo CFO'!E149</f>
        <v>0.6741514149</v>
      </c>
      <c r="E18" s="84">
        <f>'Modelo CFO'!E168</f>
        <v>0.7657808617</v>
      </c>
      <c r="F18" s="2"/>
    </row>
    <row r="19">
      <c r="A19" s="2"/>
      <c r="B19" s="55" t="s">
        <v>434</v>
      </c>
      <c r="C19" s="81">
        <f>'Modelo CFO'!C335</f>
        <v>4348678.004</v>
      </c>
      <c r="D19" s="81">
        <f>'Modelo CFO'!D335</f>
        <v>24182706.7</v>
      </c>
      <c r="E19" s="81">
        <f>'Modelo CFO'!E335</f>
        <v>98482752.54</v>
      </c>
      <c r="F19" s="2"/>
    </row>
    <row r="20">
      <c r="A20" s="2"/>
      <c r="B20" s="55" t="s">
        <v>435</v>
      </c>
      <c r="C20" s="85">
        <f>'Modelo CFO'!C333</f>
        <v>0.9992869345</v>
      </c>
      <c r="D20" s="85">
        <f>'Modelo CFO'!D333</f>
        <v>1.47371205</v>
      </c>
      <c r="E20" s="85">
        <f>'Modelo CFO'!E333</f>
        <v>2.022852332</v>
      </c>
      <c r="F20" s="2"/>
    </row>
    <row r="21" ht="15.75" customHeight="1">
      <c r="A21" s="2"/>
      <c r="B21" s="55" t="s">
        <v>436</v>
      </c>
      <c r="C21" s="85">
        <f>'Modelo CFO'!C334</f>
        <v>0.9992869345</v>
      </c>
      <c r="D21" s="85">
        <f>'Modelo CFO'!D334</f>
        <v>1.47371205</v>
      </c>
      <c r="E21" s="85">
        <f>'Modelo CFO'!E334</f>
        <v>2.022852332</v>
      </c>
      <c r="F21" s="2"/>
    </row>
    <row r="22" ht="15.75" customHeight="1">
      <c r="A22" s="2"/>
      <c r="B22" s="55" t="s">
        <v>285</v>
      </c>
      <c r="C22" s="72">
        <f>'Modelo CFO'!C336</f>
        <v>15.56609801</v>
      </c>
      <c r="D22" s="72">
        <f>'Modelo CFO'!D336</f>
        <v>10.80827818</v>
      </c>
      <c r="E22" s="72">
        <f>'Modelo CFO'!E336</f>
        <v>7.371964275</v>
      </c>
      <c r="F22" s="2"/>
    </row>
    <row r="23" ht="15.75" customHeight="1">
      <c r="A23" s="2"/>
      <c r="B23" s="55" t="s">
        <v>286</v>
      </c>
      <c r="C23" s="72">
        <f>'Modelo CFO'!C337</f>
        <v>17.9</v>
      </c>
      <c r="D23" s="72">
        <f>'Modelo CFO'!D337</f>
        <v>12.4</v>
      </c>
      <c r="E23" s="72">
        <f>'Modelo CFO'!E337</f>
        <v>8.5</v>
      </c>
      <c r="F23" s="2"/>
    </row>
    <row r="24" ht="15.75" customHeight="1">
      <c r="A24" s="2"/>
      <c r="B24" s="55" t="s">
        <v>287</v>
      </c>
      <c r="C24" s="86">
        <f>'Modelo CFO'!C338</f>
        <v>14.70784122</v>
      </c>
      <c r="D24" s="86">
        <f>'Modelo CFO'!D338</f>
        <v>22.50651963</v>
      </c>
      <c r="E24" s="86">
        <f>'Modelo CFO'!E338</f>
        <v>31.91025178</v>
      </c>
      <c r="F24" s="2"/>
    </row>
    <row r="25" ht="15.75" customHeight="1">
      <c r="A25" s="2"/>
      <c r="B25" s="2"/>
      <c r="C25" s="2"/>
      <c r="D25" s="2"/>
      <c r="E25" s="2"/>
      <c r="F25" s="2"/>
    </row>
    <row r="26" ht="15.75" customHeight="1">
      <c r="A26" s="2"/>
      <c r="B26" s="87" t="s">
        <v>437</v>
      </c>
      <c r="C26" s="88"/>
      <c r="D26" s="88"/>
      <c r="E26" s="88"/>
      <c r="F26" s="2"/>
    </row>
    <row r="27" ht="15.75" customHeight="1">
      <c r="A27" s="2"/>
      <c r="B27" s="55" t="s">
        <v>438</v>
      </c>
      <c r="C27" s="89">
        <f>'Modelo CFO'!D215</f>
        <v>5.508184668</v>
      </c>
      <c r="D27" s="89">
        <f>'Modelo CFO'!D231</f>
        <v>8.688174669</v>
      </c>
      <c r="E27" s="89">
        <f>'Modelo CFO'!D247</f>
        <v>12.1327797</v>
      </c>
      <c r="F27" s="2"/>
    </row>
    <row r="28" ht="15.75" customHeight="1">
      <c r="A28" s="2"/>
      <c r="B28" s="55" t="s">
        <v>289</v>
      </c>
      <c r="C28" s="90">
        <f>'Modelo CFO'!C340</f>
        <v>1649.18901</v>
      </c>
      <c r="D28" s="90">
        <f>'Modelo CFO'!D340</f>
        <v>4643.342338</v>
      </c>
      <c r="E28" s="90">
        <f>'Modelo CFO'!E340</f>
        <v>11710.95691</v>
      </c>
      <c r="F28" s="2"/>
    </row>
    <row r="29" ht="15.75" customHeight="1">
      <c r="A29" s="2"/>
      <c r="B29" s="55" t="s">
        <v>439</v>
      </c>
      <c r="C29" s="84">
        <f>'Modelo CFO'!C341</f>
        <v>1.173340945</v>
      </c>
      <c r="D29" s="84">
        <f>'Modelo CFO'!D341</f>
        <v>2.068910057</v>
      </c>
      <c r="E29" s="84">
        <f>'Modelo CFO'!E341</f>
        <v>3.269505931</v>
      </c>
      <c r="F29" s="2"/>
    </row>
    <row r="30" ht="15.75" customHeight="1">
      <c r="A30" s="2"/>
      <c r="B30" s="55" t="s">
        <v>440</v>
      </c>
      <c r="C30" s="56">
        <f>'Modelo CFO'!F118*0.5</f>
        <v>120444.4688</v>
      </c>
      <c r="D30" s="56">
        <f>'Modelo CFO'!L118*0.5</f>
        <v>491568.75</v>
      </c>
      <c r="E30" s="56">
        <f>'Modelo CFO'!R118*0.5</f>
        <v>1680750</v>
      </c>
      <c r="F30" s="2"/>
    </row>
    <row r="31" ht="15.75" customHeight="1">
      <c r="A31" s="2"/>
      <c r="B31" s="2"/>
      <c r="C31" s="2"/>
      <c r="D31" s="2"/>
      <c r="E31" s="2"/>
      <c r="F31" s="2"/>
    </row>
    <row r="32" ht="15.75" customHeight="1">
      <c r="A32" s="2"/>
      <c r="B32" s="2"/>
      <c r="C32" s="2"/>
      <c r="D32" s="2"/>
      <c r="E32" s="2"/>
      <c r="F32" s="2"/>
    </row>
    <row r="33" ht="15.75" customHeight="1">
      <c r="A33" s="2"/>
      <c r="B33" s="91" t="s">
        <v>441</v>
      </c>
      <c r="C33" s="4"/>
      <c r="D33" s="4"/>
      <c r="E33" s="5"/>
      <c r="F33" s="2"/>
    </row>
    <row r="34" ht="15.75" customHeight="1">
      <c r="A34" s="2"/>
      <c r="B34" s="92" t="s">
        <v>279</v>
      </c>
      <c r="C34" s="71" t="s">
        <v>303</v>
      </c>
      <c r="D34" s="71" t="s">
        <v>304</v>
      </c>
      <c r="E34" s="71" t="s">
        <v>305</v>
      </c>
      <c r="F34" s="71" t="s">
        <v>306</v>
      </c>
    </row>
    <row r="35" ht="15.75" customHeight="1">
      <c r="A35" s="2"/>
      <c r="B35" s="55" t="s">
        <v>310</v>
      </c>
      <c r="C35" s="56">
        <f>'Modelo CFO'!C386</f>
        <v>72266.68125</v>
      </c>
      <c r="D35" s="56">
        <f>'Modelo CFO'!D386</f>
        <v>120444.4688</v>
      </c>
      <c r="E35" s="56">
        <f>'Modelo CFO'!E386</f>
        <v>168622.2563</v>
      </c>
      <c r="F35" s="56">
        <f>'Modelo CFO'!F386</f>
        <v>216800.0438</v>
      </c>
    </row>
    <row r="36" ht="15.75" customHeight="1">
      <c r="A36" s="2"/>
      <c r="B36" s="55" t="s">
        <v>311</v>
      </c>
      <c r="C36" s="56">
        <f>'Modelo CFO'!C387</f>
        <v>-38571.39875</v>
      </c>
      <c r="D36" s="56">
        <f>'Modelo CFO'!D387</f>
        <v>9606.38875</v>
      </c>
      <c r="E36" s="56">
        <f>'Modelo CFO'!E387</f>
        <v>57784.17625</v>
      </c>
      <c r="F36" s="56">
        <f>'Modelo CFO'!F387</f>
        <v>105961.9638</v>
      </c>
    </row>
    <row r="37" ht="15.75" customHeight="1">
      <c r="A37" s="2"/>
      <c r="B37" s="55" t="s">
        <v>312</v>
      </c>
      <c r="C37" s="72">
        <f>'Modelo CFO'!C388</f>
        <v>999</v>
      </c>
      <c r="D37" s="72">
        <f>'Modelo CFO'!D388</f>
        <v>75.62427244</v>
      </c>
      <c r="E37" s="72">
        <f>'Modelo CFO'!E388</f>
        <v>12.57223356</v>
      </c>
      <c r="F37" s="72">
        <f>'Modelo CFO'!F388</f>
        <v>6.856008838</v>
      </c>
    </row>
    <row r="38" ht="15.75" customHeight="1">
      <c r="A38" s="2"/>
      <c r="B38" s="2"/>
      <c r="C38" s="2"/>
      <c r="D38" s="2"/>
      <c r="E38" s="2"/>
      <c r="F38" s="2"/>
    </row>
    <row r="39" ht="15.75" customHeight="1">
      <c r="A39" s="2"/>
      <c r="B39" s="92" t="s">
        <v>280</v>
      </c>
      <c r="C39" s="71" t="s">
        <v>303</v>
      </c>
      <c r="D39" s="71" t="s">
        <v>304</v>
      </c>
      <c r="E39" s="71" t="s">
        <v>305</v>
      </c>
      <c r="F39" s="71" t="s">
        <v>306</v>
      </c>
    </row>
    <row r="40" ht="15.75" customHeight="1">
      <c r="A40" s="2"/>
      <c r="B40" s="55" t="s">
        <v>310</v>
      </c>
      <c r="C40" s="56">
        <f>'Modelo CFO'!C391</f>
        <v>294941.25</v>
      </c>
      <c r="D40" s="56">
        <f>'Modelo CFO'!D391</f>
        <v>491568.75</v>
      </c>
      <c r="E40" s="56">
        <f>'Modelo CFO'!E391</f>
        <v>688196.25</v>
      </c>
      <c r="F40" s="56">
        <f>'Modelo CFO'!F391</f>
        <v>884823.75</v>
      </c>
    </row>
    <row r="41" ht="15.75" customHeight="1">
      <c r="A41" s="2"/>
      <c r="B41" s="55" t="s">
        <v>311</v>
      </c>
      <c r="C41" s="56">
        <f>'Modelo CFO'!C392</f>
        <v>-25412.71333</v>
      </c>
      <c r="D41" s="56">
        <f>'Modelo CFO'!D392</f>
        <v>171214.7867</v>
      </c>
      <c r="E41" s="56">
        <f>'Modelo CFO'!E392</f>
        <v>367842.2867</v>
      </c>
      <c r="F41" s="56">
        <f>'Modelo CFO'!F392</f>
        <v>564469.7867</v>
      </c>
    </row>
    <row r="42" ht="15.75" customHeight="1">
      <c r="A42" s="2"/>
      <c r="B42" s="55" t="s">
        <v>312</v>
      </c>
      <c r="C42" s="72">
        <f>'Modelo CFO'!C393</f>
        <v>999</v>
      </c>
      <c r="D42" s="72">
        <f>'Modelo CFO'!D393</f>
        <v>14.76979866</v>
      </c>
      <c r="E42" s="72">
        <f>'Modelo CFO'!E393</f>
        <v>6.874706955</v>
      </c>
      <c r="F42" s="72">
        <f>'Modelo CFO'!F393</f>
        <v>4.479970384</v>
      </c>
    </row>
    <row r="43" ht="15.75" customHeight="1">
      <c r="A43" s="2"/>
      <c r="B43" s="2"/>
      <c r="C43" s="2"/>
      <c r="D43" s="2"/>
      <c r="E43" s="2"/>
      <c r="F43" s="2"/>
    </row>
    <row r="44" ht="15.75" customHeight="1">
      <c r="A44" s="2"/>
      <c r="B44" s="92" t="s">
        <v>281</v>
      </c>
      <c r="C44" s="71" t="s">
        <v>303</v>
      </c>
      <c r="D44" s="71" t="s">
        <v>304</v>
      </c>
      <c r="E44" s="71" t="s">
        <v>305</v>
      </c>
      <c r="F44" s="71" t="s">
        <v>306</v>
      </c>
    </row>
    <row r="45" ht="15.75" customHeight="1">
      <c r="A45" s="2"/>
      <c r="B45" s="55" t="s">
        <v>310</v>
      </c>
      <c r="C45" s="56">
        <f>'Modelo CFO'!C396</f>
        <v>1008450</v>
      </c>
      <c r="D45" s="56">
        <f>'Modelo CFO'!D396</f>
        <v>1680750</v>
      </c>
      <c r="E45" s="56">
        <f>'Modelo CFO'!E396</f>
        <v>2353050</v>
      </c>
      <c r="F45" s="56">
        <f>'Modelo CFO'!F396</f>
        <v>3025350</v>
      </c>
    </row>
    <row r="46" ht="15.75" customHeight="1">
      <c r="A46" s="2"/>
      <c r="B46" s="55" t="s">
        <v>311</v>
      </c>
      <c r="C46" s="56">
        <f>'Modelo CFO'!C397</f>
        <v>221122.3667</v>
      </c>
      <c r="D46" s="56">
        <f>'Modelo CFO'!D397</f>
        <v>893422.3667</v>
      </c>
      <c r="E46" s="56">
        <f>'Modelo CFO'!E397</f>
        <v>1565722.367</v>
      </c>
      <c r="F46" s="56">
        <f>'Modelo CFO'!F397</f>
        <v>2238022.367</v>
      </c>
    </row>
    <row r="47" ht="15.75" customHeight="1">
      <c r="A47" s="2"/>
      <c r="B47" s="55" t="s">
        <v>312</v>
      </c>
      <c r="C47" s="72">
        <f>'Modelo CFO'!C398</f>
        <v>32.25207551</v>
      </c>
      <c r="D47" s="72">
        <f>'Modelo CFO'!D398</f>
        <v>7.982400635</v>
      </c>
      <c r="E47" s="72">
        <f>'Modelo CFO'!E398</f>
        <v>4.554865804</v>
      </c>
      <c r="F47" s="72">
        <f>'Modelo CFO'!F398</f>
        <v>3.186588022</v>
      </c>
    </row>
    <row r="48" ht="15.75" customHeight="1">
      <c r="A48" s="2"/>
      <c r="B48" s="2"/>
      <c r="C48" s="2"/>
      <c r="D48" s="2"/>
      <c r="E48" s="2"/>
      <c r="F48" s="2"/>
    </row>
    <row r="49" ht="15.75" customHeight="1">
      <c r="A49" s="2"/>
      <c r="B49" s="2"/>
      <c r="C49" s="2"/>
      <c r="D49" s="2"/>
      <c r="E49" s="2"/>
      <c r="F49" s="2"/>
    </row>
    <row r="50" ht="15.75" customHeight="1">
      <c r="A50" s="2"/>
      <c r="B50" s="52" t="s">
        <v>442</v>
      </c>
      <c r="F50" s="2"/>
    </row>
    <row r="51" ht="15.75" customHeight="1">
      <c r="A51" s="2"/>
      <c r="B51" s="2"/>
      <c r="C51" s="2"/>
      <c r="D51" s="2"/>
      <c r="E51" s="2"/>
      <c r="F51" s="2"/>
    </row>
    <row r="52" ht="15.75" customHeight="1">
      <c r="A52" s="2"/>
      <c r="B52" s="2"/>
      <c r="C52" s="2"/>
      <c r="D52" s="2"/>
      <c r="E52" s="2"/>
      <c r="F52" s="2"/>
    </row>
    <row r="53" ht="15.75" customHeight="1">
      <c r="B53" s="1" t="s">
        <v>443</v>
      </c>
      <c r="D53" s="93"/>
      <c r="E53" s="93"/>
    </row>
    <row r="54" ht="15.75" customHeight="1">
      <c r="B54" s="1" t="s">
        <v>444</v>
      </c>
      <c r="C54" s="1" t="s">
        <v>445</v>
      </c>
      <c r="D54" s="2"/>
      <c r="E54" s="2"/>
    </row>
    <row r="55" ht="15.75" customHeight="1">
      <c r="B55" s="1" t="s">
        <v>446</v>
      </c>
      <c r="C55" s="1" t="s">
        <v>447</v>
      </c>
      <c r="D55" s="2"/>
      <c r="E55" s="2"/>
    </row>
    <row r="56" ht="15.75" customHeight="1">
      <c r="B56" s="1" t="s">
        <v>448</v>
      </c>
      <c r="C56" s="1" t="s">
        <v>449</v>
      </c>
      <c r="D56" s="2"/>
      <c r="E56" s="2"/>
    </row>
    <row r="57" ht="15.75" customHeight="1">
      <c r="B57" s="1" t="s">
        <v>450</v>
      </c>
      <c r="C57" s="73">
        <v>0.9</v>
      </c>
      <c r="D57" s="2"/>
      <c r="E57" s="2"/>
    </row>
    <row r="58" ht="15.75" customHeight="1">
      <c r="B58" s="1" t="s">
        <v>451</v>
      </c>
      <c r="C58" s="1" t="s">
        <v>452</v>
      </c>
      <c r="D58" s="2"/>
      <c r="E58" s="2"/>
    </row>
    <row r="59" ht="15.75" customHeight="1">
      <c r="B59" s="2"/>
      <c r="C59" s="2"/>
      <c r="D59" s="2"/>
      <c r="E59" s="2"/>
    </row>
    <row r="60" ht="15.75" customHeight="1">
      <c r="B60" s="94" t="s">
        <v>453</v>
      </c>
    </row>
    <row r="61" ht="15.75" customHeight="1">
      <c r="B61" s="1" t="s">
        <v>454</v>
      </c>
      <c r="C61" s="1" t="s">
        <v>455</v>
      </c>
      <c r="D61" s="1" t="s">
        <v>456</v>
      </c>
      <c r="E61" s="1" t="s">
        <v>457</v>
      </c>
    </row>
    <row r="62" ht="15.75" customHeight="1">
      <c r="B62" s="1" t="s">
        <v>279</v>
      </c>
      <c r="C62" s="1" t="s">
        <v>458</v>
      </c>
      <c r="D62" s="1">
        <v>20.0</v>
      </c>
      <c r="E62" s="1" t="s">
        <v>459</v>
      </c>
    </row>
    <row r="63" ht="15.75" customHeight="1">
      <c r="B63" s="1" t="s">
        <v>280</v>
      </c>
      <c r="C63" s="1" t="s">
        <v>460</v>
      </c>
      <c r="D63" s="1">
        <v>8.0</v>
      </c>
      <c r="E63" s="1" t="s">
        <v>461</v>
      </c>
    </row>
    <row r="64" ht="15.75" customHeight="1">
      <c r="B64" s="1" t="s">
        <v>281</v>
      </c>
      <c r="C64" s="1" t="s">
        <v>462</v>
      </c>
      <c r="D64" s="1">
        <v>3.0</v>
      </c>
      <c r="E64" s="1" t="s">
        <v>463</v>
      </c>
    </row>
    <row r="65" ht="15.75" customHeight="1">
      <c r="B65" s="94" t="s">
        <v>464</v>
      </c>
      <c r="C65" s="95"/>
      <c r="D65" s="94" t="s">
        <v>465</v>
      </c>
      <c r="E65" s="94" t="s">
        <v>466</v>
      </c>
    </row>
    <row r="66" ht="15.75" customHeight="1">
      <c r="B66" s="1" t="s">
        <v>467</v>
      </c>
      <c r="C66" s="2"/>
      <c r="D66" s="2"/>
      <c r="E66" s="1" t="s">
        <v>468</v>
      </c>
    </row>
    <row r="67" ht="15.75" customHeight="1">
      <c r="B67" s="2"/>
      <c r="C67" s="2"/>
      <c r="D67" s="2"/>
      <c r="E67" s="2"/>
    </row>
    <row r="68" ht="15.75" customHeight="1">
      <c r="B68" s="94" t="s">
        <v>469</v>
      </c>
      <c r="E68" s="96"/>
    </row>
    <row r="69" ht="15.75" customHeight="1">
      <c r="B69" s="1" t="s">
        <v>149</v>
      </c>
      <c r="C69" s="1" t="s">
        <v>2</v>
      </c>
      <c r="D69" s="2"/>
      <c r="E69" s="2"/>
    </row>
    <row r="70" ht="15.75" customHeight="1">
      <c r="B70" s="1" t="s">
        <v>470</v>
      </c>
      <c r="C70" s="2">
        <f>20*726476+8*2528808+3*7131655</f>
        <v>56154949</v>
      </c>
      <c r="D70" s="2"/>
      <c r="E70" s="2"/>
    </row>
    <row r="71" ht="15.75" customHeight="1">
      <c r="B71" s="1" t="s">
        <v>471</v>
      </c>
      <c r="C71" s="2">
        <f>12*(20*110838+8*320354+3*787328)</f>
        <v>85698912</v>
      </c>
      <c r="D71" s="2"/>
      <c r="E71" s="2"/>
    </row>
    <row r="72" ht="15.75" customHeight="1">
      <c r="B72" s="1" t="s">
        <v>472</v>
      </c>
      <c r="C72" s="2">
        <f>20*5+8*14+3*34</f>
        <v>314</v>
      </c>
      <c r="D72" s="2"/>
      <c r="E72" s="2"/>
    </row>
    <row r="73" ht="15.75" customHeight="1">
      <c r="B73" s="1" t="s">
        <v>473</v>
      </c>
      <c r="C73" s="2">
        <f>12*(20*254389+8*1023638+3*3496500)</f>
        <v>285196608</v>
      </c>
      <c r="D73" s="2"/>
      <c r="E73" s="2"/>
    </row>
    <row r="74" ht="15.75" customHeight="1">
      <c r="A74" s="2"/>
      <c r="B74" s="2"/>
      <c r="C74" s="2"/>
      <c r="D74" s="2"/>
      <c r="E74" s="2"/>
      <c r="F74" s="2"/>
    </row>
    <row r="75" ht="15.75" customHeight="1">
      <c r="A75" s="2"/>
      <c r="B75" s="2"/>
      <c r="C75" s="2"/>
      <c r="D75" s="2"/>
      <c r="E75" s="2"/>
      <c r="F75" s="2"/>
    </row>
    <row r="76" ht="15.75" customHeight="1">
      <c r="A76" s="2"/>
      <c r="B76" s="2"/>
      <c r="C76" s="2"/>
      <c r="D76" s="2"/>
      <c r="E76" s="2"/>
      <c r="F76" s="2"/>
    </row>
    <row r="77" ht="15.75" customHeight="1">
      <c r="A77" s="2"/>
      <c r="B77" s="2"/>
      <c r="C77" s="2"/>
      <c r="D77" s="2"/>
      <c r="E77" s="2"/>
      <c r="F77" s="2"/>
    </row>
    <row r="78" ht="15.75" customHeight="1">
      <c r="A78" s="2"/>
      <c r="B78" s="2"/>
      <c r="C78" s="2"/>
      <c r="D78" s="2"/>
      <c r="E78" s="2"/>
      <c r="F78" s="2"/>
    </row>
    <row r="79" ht="15.75" customHeight="1">
      <c r="A79" s="2"/>
      <c r="B79" s="2"/>
      <c r="C79" s="2"/>
      <c r="D79" s="2"/>
      <c r="E79" s="2"/>
      <c r="F79" s="2"/>
    </row>
    <row r="80" ht="15.75" customHeight="1">
      <c r="A80" s="2"/>
      <c r="B80" s="2"/>
      <c r="C80" s="2"/>
      <c r="D80" s="2"/>
      <c r="E80" s="2"/>
      <c r="F80" s="2"/>
    </row>
    <row r="81" ht="15.75" customHeight="1">
      <c r="A81" s="2"/>
      <c r="B81" s="2"/>
      <c r="C81" s="2"/>
      <c r="D81" s="2"/>
      <c r="E81" s="2"/>
      <c r="F81" s="2"/>
    </row>
    <row r="82" ht="15.75" customHeight="1">
      <c r="A82" s="2"/>
      <c r="B82" s="2"/>
      <c r="C82" s="2"/>
      <c r="D82" s="2"/>
      <c r="E82" s="2"/>
      <c r="F82" s="2"/>
    </row>
    <row r="83" ht="15.75" customHeight="1">
      <c r="A83" s="2"/>
      <c r="B83" s="2"/>
      <c r="C83" s="2"/>
      <c r="D83" s="2"/>
      <c r="E83" s="2"/>
      <c r="F83" s="2"/>
    </row>
    <row r="84" ht="15.75" customHeight="1">
      <c r="A84" s="2"/>
      <c r="B84" s="2"/>
      <c r="C84" s="2"/>
      <c r="D84" s="2"/>
      <c r="E84" s="2"/>
      <c r="F84" s="2"/>
    </row>
    <row r="85" ht="15.75" customHeight="1">
      <c r="A85" s="2"/>
      <c r="B85" s="2"/>
      <c r="C85" s="2"/>
      <c r="D85" s="2"/>
      <c r="E85" s="2"/>
      <c r="F85" s="2"/>
    </row>
    <row r="86" ht="15.75" customHeight="1">
      <c r="A86" s="2"/>
      <c r="B86" s="2"/>
      <c r="C86" s="2"/>
      <c r="D86" s="2"/>
      <c r="E86" s="2"/>
      <c r="F86" s="2"/>
    </row>
    <row r="87" ht="15.75" customHeight="1">
      <c r="A87" s="2"/>
      <c r="B87" s="2"/>
      <c r="C87" s="2"/>
      <c r="D87" s="2"/>
      <c r="E87" s="2"/>
      <c r="F87" s="2"/>
    </row>
    <row r="88" ht="15.75" customHeight="1">
      <c r="A88" s="2"/>
      <c r="B88" s="2"/>
      <c r="C88" s="2"/>
      <c r="D88" s="2"/>
      <c r="E88" s="2"/>
      <c r="F88" s="2"/>
    </row>
    <row r="89" ht="15.75" customHeight="1">
      <c r="A89" s="2"/>
      <c r="B89" s="2"/>
      <c r="C89" s="2"/>
      <c r="D89" s="2"/>
      <c r="E89" s="2"/>
      <c r="F89" s="2"/>
    </row>
    <row r="90" ht="15.75" customHeight="1">
      <c r="A90" s="2"/>
      <c r="B90" s="2"/>
      <c r="C90" s="2"/>
      <c r="D90" s="2"/>
      <c r="E90" s="2"/>
      <c r="F90" s="2"/>
    </row>
    <row r="91" ht="15.75" customHeight="1">
      <c r="A91" s="2"/>
      <c r="B91" s="2"/>
      <c r="C91" s="2"/>
      <c r="D91" s="2"/>
      <c r="E91" s="2"/>
      <c r="F91" s="2"/>
    </row>
    <row r="92" ht="15.75" customHeight="1">
      <c r="A92" s="2"/>
      <c r="B92" s="2"/>
      <c r="C92" s="2"/>
      <c r="D92" s="2"/>
      <c r="E92" s="2"/>
      <c r="F92" s="2"/>
    </row>
    <row r="93" ht="15.75" customHeight="1">
      <c r="A93" s="2"/>
      <c r="B93" s="2"/>
      <c r="C93" s="2"/>
      <c r="D93" s="2"/>
      <c r="E93" s="2"/>
      <c r="F93" s="2"/>
    </row>
    <row r="94" ht="15.75" customHeight="1">
      <c r="A94" s="2"/>
      <c r="B94" s="2"/>
      <c r="C94" s="2"/>
      <c r="D94" s="2"/>
      <c r="E94" s="2"/>
      <c r="F94" s="2"/>
    </row>
    <row r="95" ht="15.75" customHeight="1">
      <c r="A95" s="2"/>
      <c r="B95" s="2"/>
      <c r="C95" s="2"/>
      <c r="D95" s="2"/>
      <c r="E95" s="2"/>
      <c r="F95" s="2"/>
    </row>
    <row r="96" ht="15.75" customHeight="1">
      <c r="A96" s="2"/>
      <c r="B96" s="2"/>
      <c r="C96" s="2"/>
      <c r="D96" s="2"/>
      <c r="E96" s="2"/>
      <c r="F96" s="2"/>
    </row>
    <row r="97" ht="15.75" customHeight="1">
      <c r="A97" s="2"/>
      <c r="B97" s="2"/>
      <c r="C97" s="2"/>
      <c r="D97" s="2"/>
      <c r="E97" s="2"/>
      <c r="F97" s="2"/>
    </row>
    <row r="98" ht="15.75" customHeight="1">
      <c r="A98" s="2"/>
      <c r="B98" s="2"/>
      <c r="C98" s="2"/>
      <c r="D98" s="2"/>
      <c r="E98" s="2"/>
      <c r="F98" s="2"/>
    </row>
    <row r="99" ht="15.75" customHeight="1">
      <c r="A99" s="2"/>
      <c r="B99" s="2"/>
      <c r="C99" s="2"/>
      <c r="D99" s="2"/>
      <c r="E99" s="2"/>
      <c r="F99" s="2"/>
    </row>
    <row r="100" ht="15.75" customHeight="1">
      <c r="A100" s="2"/>
      <c r="B100" s="2"/>
      <c r="C100" s="2"/>
      <c r="D100" s="2"/>
      <c r="E100" s="2"/>
      <c r="F100" s="2"/>
    </row>
    <row r="101" ht="15.75" customHeight="1">
      <c r="A101" s="2"/>
      <c r="B101" s="2"/>
      <c r="C101" s="2"/>
      <c r="D101" s="2"/>
      <c r="E101" s="2"/>
      <c r="F101" s="2"/>
    </row>
    <row r="102" ht="15.75" customHeight="1">
      <c r="A102" s="2"/>
      <c r="B102" s="2"/>
      <c r="C102" s="2"/>
      <c r="D102" s="2"/>
      <c r="E102" s="2"/>
      <c r="F102" s="2"/>
    </row>
    <row r="103" ht="15.75" customHeight="1">
      <c r="A103" s="2"/>
      <c r="B103" s="2"/>
      <c r="C103" s="2"/>
      <c r="D103" s="2"/>
      <c r="E103" s="2"/>
      <c r="F103" s="2"/>
    </row>
    <row r="104" ht="15.75" customHeight="1">
      <c r="A104" s="2"/>
      <c r="B104" s="2"/>
      <c r="C104" s="2"/>
      <c r="D104" s="2"/>
      <c r="E104" s="2"/>
      <c r="F104" s="2"/>
    </row>
    <row r="105" ht="15.75" customHeight="1">
      <c r="A105" s="2"/>
      <c r="B105" s="2"/>
      <c r="C105" s="2"/>
      <c r="D105" s="2"/>
      <c r="E105" s="2"/>
      <c r="F105" s="2"/>
    </row>
    <row r="106" ht="15.75" customHeight="1">
      <c r="A106" s="2"/>
      <c r="B106" s="2"/>
      <c r="C106" s="2"/>
      <c r="D106" s="2"/>
      <c r="E106" s="2"/>
      <c r="F106" s="2"/>
    </row>
    <row r="107" ht="15.75" customHeight="1">
      <c r="A107" s="2"/>
      <c r="B107" s="2"/>
      <c r="C107" s="2"/>
      <c r="D107" s="2"/>
      <c r="E107" s="2"/>
      <c r="F107" s="2"/>
    </row>
    <row r="108" ht="15.75" customHeight="1">
      <c r="A108" s="2"/>
      <c r="B108" s="2"/>
      <c r="C108" s="2"/>
      <c r="D108" s="2"/>
      <c r="E108" s="2"/>
      <c r="F108" s="2"/>
    </row>
    <row r="109" ht="15.75" customHeight="1">
      <c r="A109" s="2"/>
      <c r="B109" s="2"/>
      <c r="C109" s="2"/>
      <c r="D109" s="2"/>
      <c r="E109" s="2"/>
      <c r="F109" s="2"/>
    </row>
    <row r="110" ht="15.75" customHeight="1">
      <c r="A110" s="2"/>
      <c r="B110" s="2"/>
      <c r="C110" s="2"/>
      <c r="D110" s="2"/>
      <c r="E110" s="2"/>
      <c r="F110" s="2"/>
    </row>
    <row r="111" ht="15.75" customHeight="1">
      <c r="A111" s="2"/>
      <c r="B111" s="2"/>
      <c r="C111" s="2"/>
      <c r="D111" s="2"/>
      <c r="E111" s="2"/>
      <c r="F111" s="2"/>
    </row>
    <row r="112" ht="15.75" customHeight="1">
      <c r="A112" s="2"/>
      <c r="B112" s="2"/>
      <c r="C112" s="2"/>
      <c r="D112" s="2"/>
      <c r="E112" s="2"/>
      <c r="F112" s="2"/>
    </row>
    <row r="113" ht="15.75" customHeight="1">
      <c r="A113" s="2"/>
      <c r="B113" s="2"/>
      <c r="C113" s="2"/>
      <c r="D113" s="2"/>
      <c r="E113" s="2"/>
      <c r="F113" s="2"/>
    </row>
    <row r="114" ht="15.75" customHeight="1">
      <c r="A114" s="2"/>
      <c r="B114" s="2"/>
      <c r="C114" s="2"/>
      <c r="D114" s="2"/>
      <c r="E114" s="2"/>
      <c r="F114" s="2"/>
    </row>
    <row r="115" ht="15.75" customHeight="1">
      <c r="A115" s="2"/>
      <c r="B115" s="2"/>
      <c r="C115" s="2"/>
      <c r="D115" s="2"/>
      <c r="E115" s="2"/>
      <c r="F115" s="2"/>
    </row>
    <row r="116" ht="15.75" customHeight="1">
      <c r="A116" s="2"/>
      <c r="B116" s="2"/>
      <c r="C116" s="2"/>
      <c r="D116" s="2"/>
      <c r="E116" s="2"/>
      <c r="F116" s="2"/>
    </row>
    <row r="117" ht="15.75" customHeight="1">
      <c r="A117" s="2"/>
      <c r="B117" s="2"/>
      <c r="C117" s="2"/>
      <c r="D117" s="2"/>
      <c r="E117" s="2"/>
      <c r="F117" s="2"/>
    </row>
    <row r="118" ht="15.75" customHeight="1">
      <c r="A118" s="2"/>
      <c r="B118" s="2"/>
      <c r="C118" s="2"/>
      <c r="D118" s="2"/>
      <c r="E118" s="2"/>
      <c r="F118" s="2"/>
    </row>
    <row r="119" ht="15.75" customHeight="1">
      <c r="A119" s="2"/>
      <c r="B119" s="2"/>
      <c r="C119" s="2"/>
      <c r="D119" s="2"/>
      <c r="E119" s="2"/>
      <c r="F119" s="2"/>
    </row>
    <row r="120" ht="15.75" customHeight="1">
      <c r="A120" s="2"/>
      <c r="B120" s="2"/>
      <c r="C120" s="2"/>
      <c r="D120" s="2"/>
      <c r="E120" s="2"/>
      <c r="F120" s="2"/>
    </row>
    <row r="121" ht="15.75" customHeight="1">
      <c r="A121" s="2"/>
      <c r="B121" s="2"/>
      <c r="C121" s="2"/>
      <c r="D121" s="2"/>
      <c r="E121" s="2"/>
      <c r="F121" s="2"/>
    </row>
    <row r="122" ht="15.75" customHeight="1">
      <c r="A122" s="2"/>
      <c r="B122" s="2"/>
      <c r="C122" s="2"/>
      <c r="D122" s="2"/>
      <c r="E122" s="2"/>
      <c r="F122" s="2"/>
    </row>
    <row r="123" ht="15.75" customHeight="1">
      <c r="A123" s="2"/>
      <c r="B123" s="2"/>
      <c r="C123" s="2"/>
      <c r="D123" s="2"/>
      <c r="E123" s="2"/>
      <c r="F123" s="2"/>
    </row>
    <row r="124" ht="15.75" customHeight="1">
      <c r="A124" s="2"/>
      <c r="B124" s="2"/>
      <c r="C124" s="2"/>
      <c r="D124" s="2"/>
      <c r="E124" s="2"/>
      <c r="F124" s="2"/>
    </row>
    <row r="125" ht="15.75" customHeight="1">
      <c r="A125" s="2"/>
      <c r="B125" s="2"/>
      <c r="C125" s="2"/>
      <c r="D125" s="2"/>
      <c r="E125" s="2"/>
      <c r="F125" s="2"/>
    </row>
    <row r="126" ht="15.75" customHeight="1">
      <c r="A126" s="2"/>
      <c r="B126" s="2"/>
      <c r="C126" s="2"/>
      <c r="D126" s="2"/>
      <c r="E126" s="2"/>
      <c r="F126" s="2"/>
    </row>
    <row r="127" ht="15.75" customHeight="1">
      <c r="A127" s="2"/>
      <c r="B127" s="2"/>
      <c r="C127" s="2"/>
      <c r="D127" s="2"/>
      <c r="E127" s="2"/>
      <c r="F127" s="2"/>
    </row>
    <row r="128" ht="15.75" customHeight="1">
      <c r="A128" s="2"/>
      <c r="B128" s="2"/>
      <c r="C128" s="2"/>
      <c r="D128" s="2"/>
      <c r="E128" s="2"/>
      <c r="F128" s="2"/>
    </row>
    <row r="129" ht="15.75" customHeight="1">
      <c r="A129" s="2"/>
      <c r="B129" s="2"/>
      <c r="C129" s="2"/>
      <c r="D129" s="2"/>
      <c r="E129" s="2"/>
      <c r="F129" s="2"/>
    </row>
    <row r="130" ht="15.75" customHeight="1">
      <c r="A130" s="2"/>
      <c r="B130" s="2"/>
      <c r="C130" s="2"/>
      <c r="D130" s="2"/>
      <c r="E130" s="2"/>
      <c r="F130" s="2"/>
    </row>
    <row r="131" ht="15.75" customHeight="1">
      <c r="A131" s="2"/>
      <c r="B131" s="2"/>
      <c r="C131" s="2"/>
      <c r="D131" s="2"/>
      <c r="E131" s="2"/>
      <c r="F131" s="2"/>
    </row>
    <row r="132" ht="15.75" customHeight="1">
      <c r="A132" s="2"/>
      <c r="B132" s="2"/>
      <c r="C132" s="2"/>
      <c r="D132" s="2"/>
      <c r="E132" s="2"/>
      <c r="F132" s="2"/>
    </row>
    <row r="133" ht="15.75" customHeight="1">
      <c r="A133" s="2"/>
      <c r="B133" s="2"/>
      <c r="C133" s="2"/>
      <c r="D133" s="2"/>
      <c r="E133" s="2"/>
      <c r="F133" s="2"/>
    </row>
    <row r="134" ht="15.75" customHeight="1">
      <c r="A134" s="2"/>
      <c r="B134" s="2"/>
      <c r="C134" s="2"/>
      <c r="D134" s="2"/>
      <c r="E134" s="2"/>
      <c r="F134" s="2"/>
    </row>
    <row r="135" ht="15.75" customHeight="1">
      <c r="A135" s="2"/>
      <c r="B135" s="2"/>
      <c r="C135" s="2"/>
      <c r="D135" s="2"/>
      <c r="E135" s="2"/>
      <c r="F135" s="2"/>
    </row>
    <row r="136" ht="15.75" customHeight="1">
      <c r="A136" s="2"/>
      <c r="B136" s="2"/>
      <c r="C136" s="2"/>
      <c r="D136" s="2"/>
      <c r="E136" s="2"/>
      <c r="F136" s="2"/>
    </row>
    <row r="137" ht="15.75" customHeight="1">
      <c r="A137" s="2"/>
      <c r="B137" s="2"/>
      <c r="C137" s="2"/>
      <c r="D137" s="2"/>
      <c r="E137" s="2"/>
      <c r="F137" s="2"/>
    </row>
    <row r="138" ht="15.75" customHeight="1">
      <c r="A138" s="2"/>
      <c r="B138" s="2"/>
      <c r="C138" s="2"/>
      <c r="D138" s="2"/>
      <c r="E138" s="2"/>
      <c r="F138" s="2"/>
    </row>
    <row r="139" ht="15.75" customHeight="1">
      <c r="A139" s="2"/>
      <c r="B139" s="2"/>
      <c r="C139" s="2"/>
      <c r="D139" s="2"/>
      <c r="E139" s="2"/>
      <c r="F139" s="2"/>
    </row>
    <row r="140" ht="15.75" customHeight="1">
      <c r="A140" s="2"/>
      <c r="B140" s="2"/>
      <c r="C140" s="2"/>
      <c r="D140" s="2"/>
      <c r="E140" s="2"/>
      <c r="F140" s="2"/>
    </row>
    <row r="141" ht="15.75" customHeight="1">
      <c r="A141" s="2"/>
      <c r="B141" s="2"/>
      <c r="C141" s="2"/>
      <c r="D141" s="2"/>
      <c r="E141" s="2"/>
      <c r="F141" s="2"/>
    </row>
    <row r="142" ht="15.75" customHeight="1">
      <c r="A142" s="2"/>
      <c r="B142" s="2"/>
      <c r="C142" s="2"/>
      <c r="D142" s="2"/>
      <c r="E142" s="2"/>
      <c r="F142" s="2"/>
    </row>
    <row r="143" ht="15.75" customHeight="1">
      <c r="A143" s="2"/>
      <c r="B143" s="2"/>
      <c r="C143" s="2"/>
      <c r="D143" s="2"/>
      <c r="E143" s="2"/>
      <c r="F143" s="2"/>
    </row>
    <row r="144" ht="15.75" customHeight="1">
      <c r="A144" s="2"/>
      <c r="B144" s="2"/>
      <c r="C144" s="2"/>
      <c r="D144" s="2"/>
      <c r="E144" s="2"/>
      <c r="F144" s="2"/>
    </row>
    <row r="145" ht="15.75" customHeight="1">
      <c r="A145" s="2"/>
      <c r="B145" s="2"/>
      <c r="C145" s="2"/>
      <c r="D145" s="2"/>
      <c r="E145" s="2"/>
      <c r="F145" s="2"/>
    </row>
    <row r="146" ht="15.75" customHeight="1">
      <c r="A146" s="2"/>
      <c r="B146" s="2"/>
      <c r="C146" s="2"/>
      <c r="D146" s="2"/>
      <c r="E146" s="2"/>
      <c r="F146" s="2"/>
    </row>
    <row r="147" ht="15.75" customHeight="1">
      <c r="A147" s="2"/>
      <c r="B147" s="2"/>
      <c r="C147" s="2"/>
      <c r="D147" s="2"/>
      <c r="E147" s="2"/>
      <c r="F147" s="2"/>
    </row>
    <row r="148" ht="15.75" customHeight="1">
      <c r="A148" s="2"/>
      <c r="B148" s="2"/>
      <c r="C148" s="2"/>
      <c r="D148" s="2"/>
      <c r="E148" s="2"/>
      <c r="F148" s="2"/>
    </row>
    <row r="149" ht="15.75" customHeight="1">
      <c r="A149" s="2"/>
      <c r="B149" s="2"/>
      <c r="C149" s="2"/>
      <c r="D149" s="2"/>
      <c r="E149" s="2"/>
      <c r="F149" s="2"/>
    </row>
    <row r="150" ht="15.75" customHeight="1">
      <c r="A150" s="2"/>
      <c r="B150" s="2"/>
      <c r="C150" s="2"/>
      <c r="D150" s="2"/>
      <c r="E150" s="2"/>
      <c r="F150" s="2"/>
    </row>
    <row r="151" ht="15.75" customHeight="1">
      <c r="A151" s="2"/>
      <c r="B151" s="2"/>
      <c r="C151" s="2"/>
      <c r="D151" s="2"/>
      <c r="E151" s="2"/>
      <c r="F151" s="2"/>
    </row>
    <row r="152" ht="15.75" customHeight="1">
      <c r="A152" s="2"/>
      <c r="B152" s="2"/>
      <c r="C152" s="2"/>
      <c r="D152" s="2"/>
      <c r="E152" s="2"/>
      <c r="F152" s="2"/>
    </row>
    <row r="153" ht="15.75" customHeight="1">
      <c r="A153" s="2"/>
      <c r="B153" s="2"/>
      <c r="C153" s="2"/>
      <c r="D153" s="2"/>
      <c r="E153" s="2"/>
      <c r="F153" s="2"/>
    </row>
    <row r="154" ht="15.75" customHeight="1">
      <c r="A154" s="2"/>
      <c r="B154" s="2"/>
      <c r="C154" s="2"/>
      <c r="D154" s="2"/>
      <c r="E154" s="2"/>
      <c r="F154" s="2"/>
    </row>
    <row r="155" ht="15.75" customHeight="1">
      <c r="A155" s="2"/>
      <c r="B155" s="2"/>
      <c r="C155" s="2"/>
      <c r="D155" s="2"/>
      <c r="E155" s="2"/>
      <c r="F155" s="2"/>
    </row>
    <row r="156" ht="15.75" customHeight="1">
      <c r="A156" s="2"/>
      <c r="B156" s="2"/>
      <c r="C156" s="2"/>
      <c r="D156" s="2"/>
      <c r="E156" s="2"/>
      <c r="F156" s="2"/>
    </row>
    <row r="157" ht="15.75" customHeight="1">
      <c r="A157" s="2"/>
      <c r="B157" s="2"/>
      <c r="C157" s="2"/>
      <c r="D157" s="2"/>
      <c r="E157" s="2"/>
      <c r="F157" s="2"/>
    </row>
    <row r="158" ht="15.75" customHeight="1">
      <c r="A158" s="2"/>
      <c r="B158" s="2"/>
      <c r="C158" s="2"/>
      <c r="D158" s="2"/>
      <c r="E158" s="2"/>
      <c r="F158" s="2"/>
    </row>
    <row r="159" ht="15.75" customHeight="1">
      <c r="A159" s="2"/>
      <c r="B159" s="2"/>
      <c r="C159" s="2"/>
      <c r="D159" s="2"/>
      <c r="E159" s="2"/>
      <c r="F159" s="2"/>
    </row>
    <row r="160" ht="15.75" customHeight="1">
      <c r="A160" s="2"/>
      <c r="B160" s="2"/>
      <c r="C160" s="2"/>
      <c r="D160" s="2"/>
      <c r="E160" s="2"/>
      <c r="F160" s="2"/>
    </row>
    <row r="161" ht="15.75" customHeight="1">
      <c r="A161" s="2"/>
      <c r="B161" s="2"/>
      <c r="C161" s="2"/>
      <c r="D161" s="2"/>
      <c r="E161" s="2"/>
      <c r="F161" s="2"/>
    </row>
    <row r="162" ht="15.75" customHeight="1">
      <c r="A162" s="2"/>
      <c r="B162" s="2"/>
      <c r="C162" s="2"/>
      <c r="D162" s="2"/>
      <c r="E162" s="2"/>
      <c r="F162" s="2"/>
    </row>
    <row r="163" ht="15.75" customHeight="1">
      <c r="A163" s="2"/>
      <c r="B163" s="2"/>
      <c r="C163" s="2"/>
      <c r="D163" s="2"/>
      <c r="E163" s="2"/>
      <c r="F163" s="2"/>
    </row>
    <row r="164" ht="15.75" customHeight="1">
      <c r="A164" s="2"/>
      <c r="B164" s="2"/>
      <c r="C164" s="2"/>
      <c r="D164" s="2"/>
      <c r="E164" s="2"/>
      <c r="F164" s="2"/>
    </row>
    <row r="165" ht="15.75" customHeight="1">
      <c r="A165" s="2"/>
      <c r="B165" s="2"/>
      <c r="C165" s="2"/>
      <c r="D165" s="2"/>
      <c r="E165" s="2"/>
      <c r="F165" s="2"/>
    </row>
    <row r="166" ht="15.75" customHeight="1">
      <c r="A166" s="2"/>
      <c r="B166" s="2"/>
      <c r="C166" s="2"/>
      <c r="D166" s="2"/>
      <c r="E166" s="2"/>
      <c r="F166" s="2"/>
    </row>
    <row r="167" ht="15.75" customHeight="1">
      <c r="A167" s="2"/>
      <c r="B167" s="2"/>
      <c r="C167" s="2"/>
      <c r="D167" s="2"/>
      <c r="E167" s="2"/>
      <c r="F167" s="2"/>
    </row>
    <row r="168" ht="15.75" customHeight="1">
      <c r="A168" s="2"/>
      <c r="B168" s="2"/>
      <c r="C168" s="2"/>
      <c r="D168" s="2"/>
      <c r="E168" s="2"/>
      <c r="F168" s="2"/>
    </row>
    <row r="169" ht="15.75" customHeight="1">
      <c r="A169" s="2"/>
      <c r="B169" s="2"/>
      <c r="C169" s="2"/>
      <c r="D169" s="2"/>
      <c r="E169" s="2"/>
      <c r="F169" s="2"/>
    </row>
    <row r="170" ht="15.75" customHeight="1">
      <c r="A170" s="2"/>
      <c r="B170" s="2"/>
      <c r="C170" s="2"/>
      <c r="D170" s="2"/>
      <c r="E170" s="2"/>
      <c r="F170" s="2"/>
    </row>
    <row r="171" ht="15.75" customHeight="1">
      <c r="A171" s="2"/>
      <c r="B171" s="2"/>
      <c r="C171" s="2"/>
      <c r="D171" s="2"/>
      <c r="E171" s="2"/>
      <c r="F171" s="2"/>
    </row>
    <row r="172" ht="15.75" customHeight="1">
      <c r="A172" s="2"/>
      <c r="B172" s="2"/>
      <c r="C172" s="2"/>
      <c r="D172" s="2"/>
      <c r="E172" s="2"/>
      <c r="F172" s="2"/>
    </row>
    <row r="173" ht="15.75" customHeight="1">
      <c r="A173" s="2"/>
      <c r="B173" s="2"/>
      <c r="C173" s="2"/>
      <c r="D173" s="2"/>
      <c r="E173" s="2"/>
      <c r="F173" s="2"/>
    </row>
    <row r="174" ht="15.75" customHeight="1">
      <c r="A174" s="2"/>
      <c r="B174" s="2"/>
      <c r="C174" s="2"/>
      <c r="D174" s="2"/>
      <c r="E174" s="2"/>
      <c r="F174" s="2"/>
    </row>
    <row r="175" ht="15.75" customHeight="1">
      <c r="A175" s="2"/>
      <c r="B175" s="2"/>
      <c r="C175" s="2"/>
      <c r="D175" s="2"/>
      <c r="E175" s="2"/>
      <c r="F175" s="2"/>
    </row>
    <row r="176" ht="15.75" customHeight="1">
      <c r="A176" s="2"/>
      <c r="B176" s="2"/>
      <c r="C176" s="2"/>
      <c r="D176" s="2"/>
      <c r="E176" s="2"/>
      <c r="F176" s="2"/>
    </row>
    <row r="177" ht="15.75" customHeight="1">
      <c r="A177" s="2"/>
      <c r="B177" s="2"/>
      <c r="C177" s="2"/>
      <c r="D177" s="2"/>
      <c r="E177" s="2"/>
      <c r="F177" s="2"/>
    </row>
    <row r="178" ht="15.75" customHeight="1">
      <c r="A178" s="2"/>
      <c r="B178" s="2"/>
      <c r="C178" s="2"/>
      <c r="D178" s="2"/>
      <c r="E178" s="2"/>
      <c r="F178" s="2"/>
    </row>
    <row r="179" ht="15.75" customHeight="1">
      <c r="A179" s="2"/>
      <c r="B179" s="2"/>
      <c r="C179" s="2"/>
      <c r="D179" s="2"/>
      <c r="E179" s="2"/>
      <c r="F179" s="2"/>
    </row>
    <row r="180" ht="15.75" customHeight="1">
      <c r="A180" s="2"/>
      <c r="B180" s="2"/>
      <c r="C180" s="2"/>
      <c r="D180" s="2"/>
      <c r="E180" s="2"/>
      <c r="F180" s="2"/>
    </row>
    <row r="181" ht="15.75" customHeight="1">
      <c r="A181" s="2"/>
      <c r="B181" s="2"/>
      <c r="C181" s="2"/>
      <c r="D181" s="2"/>
      <c r="E181" s="2"/>
      <c r="F181" s="2"/>
    </row>
    <row r="182" ht="15.75" customHeight="1">
      <c r="A182" s="2"/>
      <c r="B182" s="2"/>
      <c r="C182" s="2"/>
      <c r="D182" s="2"/>
      <c r="E182" s="2"/>
      <c r="F182" s="2"/>
    </row>
    <row r="183" ht="15.75" customHeight="1">
      <c r="A183" s="2"/>
      <c r="B183" s="2"/>
      <c r="C183" s="2"/>
      <c r="D183" s="2"/>
      <c r="E183" s="2"/>
      <c r="F183" s="2"/>
    </row>
    <row r="184" ht="15.75" customHeight="1">
      <c r="A184" s="2"/>
      <c r="B184" s="2"/>
      <c r="C184" s="2"/>
      <c r="D184" s="2"/>
      <c r="E184" s="2"/>
      <c r="F184" s="2"/>
    </row>
    <row r="185" ht="15.75" customHeight="1">
      <c r="A185" s="2"/>
      <c r="B185" s="2"/>
      <c r="C185" s="2"/>
      <c r="D185" s="2"/>
      <c r="E185" s="2"/>
      <c r="F185" s="2"/>
    </row>
    <row r="186" ht="15.75" customHeight="1">
      <c r="A186" s="2"/>
      <c r="B186" s="2"/>
      <c r="C186" s="2"/>
      <c r="D186" s="2"/>
      <c r="E186" s="2"/>
      <c r="F186" s="2"/>
    </row>
    <row r="187" ht="15.75" customHeight="1">
      <c r="A187" s="2"/>
      <c r="B187" s="2"/>
      <c r="C187" s="2"/>
      <c r="D187" s="2"/>
      <c r="E187" s="2"/>
      <c r="F187" s="2"/>
    </row>
    <row r="188" ht="15.75" customHeight="1">
      <c r="A188" s="2"/>
      <c r="B188" s="2"/>
      <c r="C188" s="2"/>
      <c r="D188" s="2"/>
      <c r="E188" s="2"/>
      <c r="F188" s="2"/>
    </row>
    <row r="189" ht="15.75" customHeight="1">
      <c r="A189" s="2"/>
      <c r="B189" s="2"/>
      <c r="C189" s="2"/>
      <c r="D189" s="2"/>
      <c r="E189" s="2"/>
      <c r="F189" s="2"/>
    </row>
    <row r="190" ht="15.75" customHeight="1">
      <c r="A190" s="2"/>
      <c r="B190" s="2"/>
      <c r="C190" s="2"/>
      <c r="D190" s="2"/>
      <c r="E190" s="2"/>
      <c r="F190" s="2"/>
    </row>
    <row r="191" ht="15.75" customHeight="1">
      <c r="A191" s="2"/>
      <c r="B191" s="2"/>
      <c r="C191" s="2"/>
      <c r="D191" s="2"/>
      <c r="E191" s="2"/>
      <c r="F191" s="2"/>
    </row>
    <row r="192" ht="15.75" customHeight="1">
      <c r="A192" s="2"/>
      <c r="B192" s="2"/>
      <c r="C192" s="2"/>
      <c r="D192" s="2"/>
      <c r="E192" s="2"/>
      <c r="F192" s="2"/>
    </row>
    <row r="193" ht="15.75" customHeight="1">
      <c r="A193" s="2"/>
      <c r="B193" s="2"/>
      <c r="C193" s="2"/>
      <c r="D193" s="2"/>
      <c r="E193" s="2"/>
      <c r="F193" s="2"/>
    </row>
    <row r="194" ht="15.75" customHeight="1">
      <c r="A194" s="2"/>
      <c r="B194" s="2"/>
      <c r="C194" s="2"/>
      <c r="D194" s="2"/>
      <c r="E194" s="2"/>
      <c r="F194" s="2"/>
    </row>
    <row r="195" ht="15.75" customHeight="1">
      <c r="A195" s="2"/>
      <c r="B195" s="2"/>
      <c r="C195" s="2"/>
      <c r="D195" s="2"/>
      <c r="E195" s="2"/>
      <c r="F195" s="2"/>
    </row>
    <row r="196" ht="15.75" customHeight="1">
      <c r="A196" s="2"/>
      <c r="B196" s="2"/>
      <c r="C196" s="2"/>
      <c r="D196" s="2"/>
      <c r="E196" s="2"/>
      <c r="F196" s="2"/>
    </row>
    <row r="197" ht="15.75" customHeight="1">
      <c r="A197" s="2"/>
      <c r="B197" s="2"/>
      <c r="C197" s="2"/>
      <c r="D197" s="2"/>
      <c r="E197" s="2"/>
      <c r="F197" s="2"/>
    </row>
    <row r="198" ht="15.75" customHeight="1">
      <c r="A198" s="2"/>
      <c r="B198" s="2"/>
      <c r="C198" s="2"/>
      <c r="D198" s="2"/>
      <c r="E198" s="2"/>
      <c r="F198" s="2"/>
    </row>
    <row r="199" ht="15.75" customHeight="1">
      <c r="A199" s="2"/>
      <c r="B199" s="2"/>
      <c r="C199" s="2"/>
      <c r="D199" s="2"/>
      <c r="E199" s="2"/>
      <c r="F199" s="2"/>
    </row>
    <row r="200" ht="15.75" customHeight="1">
      <c r="A200" s="2"/>
      <c r="B200" s="2"/>
      <c r="C200" s="2"/>
      <c r="D200" s="2"/>
      <c r="E200" s="2"/>
      <c r="F200" s="2"/>
    </row>
    <row r="201" ht="15.75" customHeight="1">
      <c r="A201" s="2"/>
      <c r="B201" s="2"/>
      <c r="C201" s="2"/>
      <c r="D201" s="2"/>
      <c r="E201" s="2"/>
      <c r="F201" s="2"/>
    </row>
    <row r="202" ht="15.75" customHeight="1">
      <c r="A202" s="2"/>
      <c r="B202" s="2"/>
      <c r="C202" s="2"/>
      <c r="D202" s="2"/>
      <c r="E202" s="2"/>
      <c r="F202" s="2"/>
    </row>
    <row r="203" ht="15.75" customHeight="1">
      <c r="A203" s="2"/>
      <c r="B203" s="2"/>
      <c r="C203" s="2"/>
      <c r="D203" s="2"/>
      <c r="E203" s="2"/>
      <c r="F203" s="2"/>
    </row>
    <row r="204" ht="15.75" customHeight="1">
      <c r="A204" s="2"/>
      <c r="B204" s="2"/>
      <c r="C204" s="2"/>
      <c r="D204" s="2"/>
      <c r="E204" s="2"/>
      <c r="F204" s="2"/>
    </row>
    <row r="205" ht="15.75" customHeight="1">
      <c r="A205" s="2"/>
      <c r="B205" s="2"/>
      <c r="C205" s="2"/>
      <c r="D205" s="2"/>
      <c r="E205" s="2"/>
      <c r="F205" s="2"/>
    </row>
    <row r="206" ht="15.75" customHeight="1">
      <c r="A206" s="2"/>
      <c r="B206" s="2"/>
      <c r="C206" s="2"/>
      <c r="D206" s="2"/>
      <c r="E206" s="2"/>
      <c r="F206" s="2"/>
    </row>
    <row r="207" ht="15.75" customHeight="1">
      <c r="A207" s="2"/>
      <c r="B207" s="2"/>
      <c r="C207" s="2"/>
      <c r="D207" s="2"/>
      <c r="E207" s="2"/>
      <c r="F207" s="2"/>
    </row>
    <row r="208" ht="15.75" customHeight="1">
      <c r="A208" s="2"/>
      <c r="B208" s="2"/>
      <c r="C208" s="2"/>
      <c r="D208" s="2"/>
      <c r="E208" s="2"/>
      <c r="F208" s="2"/>
    </row>
    <row r="209" ht="15.75" customHeight="1">
      <c r="A209" s="2"/>
      <c r="B209" s="2"/>
      <c r="C209" s="2"/>
      <c r="D209" s="2"/>
      <c r="E209" s="2"/>
      <c r="F209" s="2"/>
    </row>
    <row r="210" ht="15.75" customHeight="1">
      <c r="A210" s="2"/>
      <c r="B210" s="2"/>
      <c r="C210" s="2"/>
      <c r="D210" s="2"/>
      <c r="E210" s="2"/>
      <c r="F210" s="2"/>
    </row>
    <row r="211" ht="15.75" customHeight="1">
      <c r="A211" s="2"/>
      <c r="B211" s="2"/>
      <c r="C211" s="2"/>
      <c r="D211" s="2"/>
      <c r="E211" s="2"/>
      <c r="F211" s="2"/>
    </row>
    <row r="212" ht="15.75" customHeight="1">
      <c r="A212" s="2"/>
      <c r="B212" s="2"/>
      <c r="C212" s="2"/>
      <c r="D212" s="2"/>
      <c r="E212" s="2"/>
      <c r="F212" s="2"/>
    </row>
    <row r="213" ht="15.75" customHeight="1">
      <c r="A213" s="2"/>
      <c r="B213" s="2"/>
      <c r="C213" s="2"/>
      <c r="D213" s="2"/>
      <c r="E213" s="2"/>
      <c r="F213" s="2"/>
    </row>
    <row r="214" ht="15.75" customHeight="1">
      <c r="A214" s="2"/>
      <c r="B214" s="2"/>
      <c r="C214" s="2"/>
      <c r="D214" s="2"/>
      <c r="E214" s="2"/>
      <c r="F214" s="2"/>
    </row>
    <row r="215" ht="15.75" customHeight="1">
      <c r="A215" s="2"/>
      <c r="B215" s="2"/>
      <c r="C215" s="2"/>
      <c r="D215" s="2"/>
      <c r="E215" s="2"/>
      <c r="F215" s="2"/>
    </row>
    <row r="216" ht="15.75" customHeight="1">
      <c r="A216" s="2"/>
      <c r="B216" s="2"/>
      <c r="C216" s="2"/>
      <c r="D216" s="2"/>
      <c r="E216" s="2"/>
      <c r="F216" s="2"/>
    </row>
    <row r="217" ht="15.75" customHeight="1">
      <c r="A217" s="2"/>
      <c r="B217" s="2"/>
      <c r="C217" s="2"/>
      <c r="D217" s="2"/>
      <c r="E217" s="2"/>
      <c r="F217" s="2"/>
    </row>
    <row r="218" ht="15.75" customHeight="1">
      <c r="A218" s="2"/>
      <c r="B218" s="2"/>
      <c r="C218" s="2"/>
      <c r="D218" s="2"/>
      <c r="E218" s="2"/>
      <c r="F218" s="2"/>
    </row>
    <row r="219" ht="15.75" customHeight="1">
      <c r="A219" s="2"/>
      <c r="B219" s="2"/>
      <c r="C219" s="2"/>
      <c r="D219" s="2"/>
      <c r="E219" s="2"/>
      <c r="F219" s="2"/>
    </row>
    <row r="220" ht="15.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mergeCells count="7">
    <mergeCell ref="B2:E2"/>
    <mergeCell ref="B3:E3"/>
    <mergeCell ref="B33:E33"/>
    <mergeCell ref="B50:E50"/>
    <mergeCell ref="B53:C53"/>
    <mergeCell ref="B60:E60"/>
    <mergeCell ref="B68:D6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86"/>
    <col customWidth="1" min="2" max="2" width="31.71"/>
    <col customWidth="1" min="3" max="3" width="26.71"/>
    <col customWidth="1" min="4" max="4" width="35.57"/>
  </cols>
  <sheetData>
    <row r="1">
      <c r="A1" s="97" t="s">
        <v>474</v>
      </c>
    </row>
    <row r="2">
      <c r="A2" s="97"/>
      <c r="B2" s="97"/>
      <c r="C2" s="97"/>
      <c r="D2" s="97"/>
    </row>
    <row r="3" ht="22.5" customHeight="1">
      <c r="A3" s="98" t="s">
        <v>149</v>
      </c>
      <c r="B3" s="98" t="s">
        <v>279</v>
      </c>
      <c r="C3" s="98" t="s">
        <v>280</v>
      </c>
      <c r="D3" s="98" t="s">
        <v>281</v>
      </c>
    </row>
    <row r="4" ht="22.5" customHeight="1">
      <c r="A4" s="99" t="s">
        <v>424</v>
      </c>
      <c r="B4" s="99">
        <v>726476.0</v>
      </c>
      <c r="C4" s="99">
        <v>2528808.0</v>
      </c>
      <c r="D4" s="99">
        <v>7131655.0</v>
      </c>
    </row>
    <row r="5" ht="22.5" customHeight="1">
      <c r="A5" s="99" t="s">
        <v>155</v>
      </c>
      <c r="B5" s="99">
        <v>45000.0</v>
      </c>
      <c r="C5" s="99">
        <v>65000.0</v>
      </c>
      <c r="D5" s="99">
        <v>95000.0</v>
      </c>
    </row>
    <row r="6" ht="22.5" customHeight="1">
      <c r="A6" s="99" t="s">
        <v>425</v>
      </c>
      <c r="B6" s="99">
        <v>221676.0</v>
      </c>
      <c r="C6" s="99">
        <v>640708.0</v>
      </c>
      <c r="D6" s="99">
        <v>1574655.0</v>
      </c>
    </row>
    <row r="8">
      <c r="A8" s="97" t="s">
        <v>475</v>
      </c>
    </row>
    <row r="9">
      <c r="A9" s="97"/>
      <c r="B9" s="97"/>
      <c r="C9" s="97"/>
      <c r="D9" s="97"/>
    </row>
    <row r="10" ht="22.5" customHeight="1">
      <c r="A10" s="98" t="s">
        <v>149</v>
      </c>
      <c r="B10" s="98" t="s">
        <v>279</v>
      </c>
      <c r="C10" s="98" t="s">
        <v>280</v>
      </c>
      <c r="D10" s="98" t="s">
        <v>281</v>
      </c>
    </row>
    <row r="11" ht="22.5" customHeight="1">
      <c r="A11" s="99" t="s">
        <v>476</v>
      </c>
      <c r="B11" s="99">
        <v>110838.0</v>
      </c>
      <c r="C11" s="99">
        <v>320354.0</v>
      </c>
      <c r="D11" s="99">
        <v>787328.0</v>
      </c>
    </row>
    <row r="13">
      <c r="A13" s="97" t="s">
        <v>477</v>
      </c>
    </row>
    <row r="14">
      <c r="A14" s="97" t="s">
        <v>149</v>
      </c>
      <c r="B14" s="97" t="s">
        <v>279</v>
      </c>
      <c r="C14" s="97" t="s">
        <v>280</v>
      </c>
      <c r="D14" s="97" t="s">
        <v>281</v>
      </c>
    </row>
    <row r="15">
      <c r="A15" s="97" t="s">
        <v>430</v>
      </c>
      <c r="B15" s="97">
        <v>127194.0</v>
      </c>
      <c r="C15" s="97">
        <v>511819.0</v>
      </c>
      <c r="D15" s="97">
        <v>1748250.0</v>
      </c>
    </row>
    <row r="16">
      <c r="A16" s="97" t="s">
        <v>431</v>
      </c>
      <c r="B16" s="97">
        <v>254389.0</v>
      </c>
      <c r="C16" s="97">
        <v>1023638.0</v>
      </c>
      <c r="D16" s="97">
        <v>3496500.0</v>
      </c>
    </row>
    <row r="17">
      <c r="A17" s="97" t="s">
        <v>432</v>
      </c>
      <c r="B17" s="97">
        <v>1722610.0</v>
      </c>
      <c r="C17" s="97">
        <v>8439402.0</v>
      </c>
      <c r="D17" s="97">
        <v>3.2510068E7</v>
      </c>
    </row>
    <row r="18">
      <c r="A18" s="97" t="s">
        <v>282</v>
      </c>
      <c r="B18" s="97" t="s">
        <v>478</v>
      </c>
      <c r="C18" s="97" t="s">
        <v>479</v>
      </c>
      <c r="D18" s="97" t="s">
        <v>480</v>
      </c>
    </row>
    <row r="19">
      <c r="A19" s="97" t="s">
        <v>285</v>
      </c>
      <c r="B19" s="100">
        <v>46126.0</v>
      </c>
      <c r="C19" s="100">
        <v>46032.0</v>
      </c>
      <c r="D19" s="97" t="s">
        <v>481</v>
      </c>
    </row>
    <row r="21">
      <c r="A21" s="97" t="s">
        <v>482</v>
      </c>
    </row>
    <row r="22">
      <c r="A22" s="97" t="s">
        <v>483</v>
      </c>
      <c r="B22" s="97" t="s">
        <v>484</v>
      </c>
    </row>
    <row r="23">
      <c r="A23" s="97" t="s">
        <v>84</v>
      </c>
      <c r="B23" s="97">
        <v>208125.0</v>
      </c>
    </row>
    <row r="24">
      <c r="A24" s="97" t="s">
        <v>485</v>
      </c>
      <c r="B24" s="97">
        <v>116250.0</v>
      </c>
    </row>
    <row r="25">
      <c r="A25" s="97" t="s">
        <v>183</v>
      </c>
      <c r="B25" s="97">
        <v>70875.0</v>
      </c>
    </row>
    <row r="26">
      <c r="A26" s="97" t="s">
        <v>184</v>
      </c>
      <c r="B26" s="97">
        <v>628388.0</v>
      </c>
      <c r="L26" s="97" t="s">
        <v>486</v>
      </c>
    </row>
    <row r="28">
      <c r="A28" s="97" t="s">
        <v>487</v>
      </c>
    </row>
    <row r="29">
      <c r="A29" s="97" t="s">
        <v>454</v>
      </c>
      <c r="B29" s="97" t="s">
        <v>455</v>
      </c>
      <c r="C29" s="97" t="s">
        <v>456</v>
      </c>
      <c r="D29" s="97" t="s">
        <v>457</v>
      </c>
    </row>
    <row r="30">
      <c r="A30" s="97" t="s">
        <v>279</v>
      </c>
      <c r="B30" s="97" t="s">
        <v>458</v>
      </c>
      <c r="C30" s="97">
        <v>20.0</v>
      </c>
      <c r="D30" s="97" t="s">
        <v>459</v>
      </c>
    </row>
    <row r="31">
      <c r="A31" s="97" t="s">
        <v>280</v>
      </c>
      <c r="B31" s="97" t="s">
        <v>460</v>
      </c>
      <c r="C31" s="97">
        <v>8.0</v>
      </c>
      <c r="D31" s="97" t="s">
        <v>461</v>
      </c>
    </row>
    <row r="32">
      <c r="A32" s="97" t="s">
        <v>281</v>
      </c>
      <c r="B32" s="97" t="s">
        <v>462</v>
      </c>
      <c r="C32" s="97">
        <v>3.0</v>
      </c>
      <c r="D32" s="97" t="s">
        <v>463</v>
      </c>
    </row>
    <row r="33">
      <c r="A33" s="97" t="s">
        <v>464</v>
      </c>
      <c r="C33" s="97" t="s">
        <v>465</v>
      </c>
      <c r="D33" s="97" t="s">
        <v>466</v>
      </c>
    </row>
    <row r="35">
      <c r="A35" s="101"/>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c r="A36" s="101"/>
      <c r="B36" s="101"/>
      <c r="C36" s="101"/>
      <c r="D36" s="101"/>
      <c r="E36" s="101"/>
      <c r="F36" s="101"/>
      <c r="G36" s="101"/>
      <c r="H36" s="101"/>
      <c r="I36" s="101"/>
      <c r="J36" s="101"/>
      <c r="K36" s="102"/>
      <c r="L36" s="102"/>
      <c r="M36" s="102"/>
      <c r="N36" s="102"/>
      <c r="O36" s="102"/>
      <c r="P36" s="102"/>
      <c r="Q36" s="102"/>
      <c r="R36" s="102"/>
      <c r="S36" s="102"/>
      <c r="T36" s="102"/>
      <c r="U36" s="102"/>
      <c r="V36" s="102"/>
      <c r="W36" s="102"/>
      <c r="X36" s="102"/>
      <c r="Y36" s="102"/>
      <c r="Z36" s="102"/>
    </row>
    <row r="37">
      <c r="B37" s="103"/>
    </row>
    <row r="38">
      <c r="B38" s="103"/>
    </row>
    <row r="39">
      <c r="B39" s="103"/>
    </row>
    <row r="40">
      <c r="B40" s="103"/>
    </row>
    <row r="41">
      <c r="B41" s="103"/>
    </row>
    <row r="42">
      <c r="B42" s="103"/>
    </row>
    <row r="44">
      <c r="A44" s="101"/>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6.14"/>
    <col customWidth="1" min="3" max="3" width="18.43"/>
    <col customWidth="1" min="16" max="16" width="90.71"/>
    <col customWidth="1" min="17" max="17" width="187.14"/>
  </cols>
  <sheetData>
    <row r="1">
      <c r="A1" s="104" t="s">
        <v>488</v>
      </c>
      <c r="B1" s="105"/>
      <c r="C1" s="105"/>
      <c r="D1" s="105"/>
      <c r="E1" s="105"/>
      <c r="F1" s="105"/>
      <c r="G1" s="105"/>
      <c r="H1" s="105"/>
      <c r="I1" s="105"/>
      <c r="J1" s="105"/>
      <c r="K1" s="105"/>
      <c r="L1" s="105"/>
      <c r="M1" s="105"/>
      <c r="N1" s="105"/>
      <c r="O1" s="105"/>
      <c r="P1" s="106" t="s">
        <v>489</v>
      </c>
      <c r="Q1" s="107"/>
      <c r="R1" s="105"/>
      <c r="S1" s="105"/>
      <c r="T1" s="105"/>
      <c r="U1" s="105"/>
      <c r="V1" s="105"/>
      <c r="W1" s="105"/>
      <c r="X1" s="105"/>
      <c r="Y1" s="105"/>
      <c r="Z1" s="105"/>
    </row>
    <row r="4">
      <c r="B4" s="108" t="s">
        <v>315</v>
      </c>
      <c r="C4" s="108" t="s">
        <v>316</v>
      </c>
      <c r="D4" s="108" t="s">
        <v>490</v>
      </c>
      <c r="E4" s="108" t="s">
        <v>491</v>
      </c>
      <c r="F4" s="108" t="s">
        <v>424</v>
      </c>
      <c r="G4" s="108" t="s">
        <v>492</v>
      </c>
      <c r="H4" s="108" t="s">
        <v>329</v>
      </c>
    </row>
    <row r="5">
      <c r="B5" s="109" t="s">
        <v>493</v>
      </c>
      <c r="C5" s="109" t="s">
        <v>333</v>
      </c>
      <c r="D5" s="109">
        <v>3.0</v>
      </c>
      <c r="E5" s="109">
        <v>15.0</v>
      </c>
      <c r="F5" s="109" t="s">
        <v>494</v>
      </c>
      <c r="G5" s="109" t="s">
        <v>495</v>
      </c>
      <c r="H5" s="110">
        <v>46236.0</v>
      </c>
    </row>
    <row r="6">
      <c r="B6" s="109" t="s">
        <v>496</v>
      </c>
      <c r="C6" s="109" t="s">
        <v>337</v>
      </c>
      <c r="D6" s="109">
        <v>6.0</v>
      </c>
      <c r="E6" s="109">
        <v>40.0</v>
      </c>
      <c r="F6" s="109" t="s">
        <v>497</v>
      </c>
      <c r="G6" s="109" t="s">
        <v>498</v>
      </c>
      <c r="H6" s="109" t="s">
        <v>339</v>
      </c>
    </row>
    <row r="7">
      <c r="B7" s="109" t="s">
        <v>499</v>
      </c>
      <c r="C7" s="109" t="s">
        <v>342</v>
      </c>
      <c r="D7" s="109">
        <v>8.0</v>
      </c>
      <c r="E7" s="109">
        <v>70.0</v>
      </c>
      <c r="F7" s="109" t="s">
        <v>500</v>
      </c>
      <c r="G7" s="109" t="s">
        <v>501</v>
      </c>
      <c r="H7" s="109" t="s">
        <v>344</v>
      </c>
    </row>
    <row r="8">
      <c r="B8" s="109" t="s">
        <v>502</v>
      </c>
      <c r="C8" s="109" t="s">
        <v>346</v>
      </c>
      <c r="D8" s="109">
        <v>13.0</v>
      </c>
      <c r="E8" s="109">
        <v>130.0</v>
      </c>
      <c r="F8" s="109" t="s">
        <v>503</v>
      </c>
      <c r="G8" s="109" t="s">
        <v>504</v>
      </c>
      <c r="H8" s="109" t="s">
        <v>348</v>
      </c>
    </row>
    <row r="9">
      <c r="B9" s="109" t="s">
        <v>505</v>
      </c>
      <c r="C9" s="109" t="s">
        <v>351</v>
      </c>
      <c r="D9" s="109">
        <v>18.0</v>
      </c>
      <c r="E9" s="109">
        <v>230.0</v>
      </c>
      <c r="F9" s="109" t="s">
        <v>506</v>
      </c>
      <c r="G9" s="109" t="s">
        <v>507</v>
      </c>
      <c r="H9" s="109" t="s">
        <v>353</v>
      </c>
    </row>
    <row r="10">
      <c r="B10" s="109" t="s">
        <v>508</v>
      </c>
      <c r="C10" s="109" t="s">
        <v>356</v>
      </c>
      <c r="D10" s="109">
        <v>31.0</v>
      </c>
      <c r="E10" s="109">
        <v>370.0</v>
      </c>
      <c r="F10" s="109" t="s">
        <v>509</v>
      </c>
      <c r="G10" s="109" t="s">
        <v>510</v>
      </c>
      <c r="H10" s="109" t="s">
        <v>358</v>
      </c>
    </row>
  </sheetData>
  <drawing r:id="rId1"/>
</worksheet>
</file>